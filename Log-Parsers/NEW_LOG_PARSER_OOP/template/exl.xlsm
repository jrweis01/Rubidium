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vihay.RUBIDIUM\Desktop\NEW_LOG_PARSER_OOP\template\"/>
    </mc:Choice>
  </mc:AlternateContent>
  <bookViews>
    <workbookView xWindow="630" yWindow="810" windowWidth="16860" windowHeight="11520" tabRatio="771"/>
  </bookViews>
  <sheets>
    <sheet name="MP_mTRIG_sASR" sheetId="29" r:id="rId1"/>
    <sheet name="Summary Stats" sheetId="28" r:id="rId2"/>
    <sheet name="Dynamic_Range" sheetId="27" r:id="rId3"/>
    <sheet name="FR SNR" sheetId="25" r:id="rId4"/>
    <sheet name="TRIG_ONLY" sheetId="22" r:id="rId5"/>
    <sheet name="LJ_sTRIG_mASR" sheetId="24" r:id="rId6"/>
    <sheet name="LONG_TALKS" sheetId="26" r:id="rId7"/>
  </sheets>
  <functionGroups builtInGroupCount="18"/>
  <externalReferences>
    <externalReference r:id="rId8"/>
  </externalReferences>
  <definedNames>
    <definedName name="_xlnm._FilterDatabase" localSheetId="6" hidden="1">LONG_TALKS!$B$3:$N$3</definedName>
    <definedName name="_xlnm._FilterDatabase" localSheetId="4" hidden="1">TRIG_ONLY!$B$3:$S$3</definedName>
  </definedNames>
  <calcPr calcId="152511"/>
</workbook>
</file>

<file path=xl/calcChain.xml><?xml version="1.0" encoding="utf-8"?>
<calcChain xmlns="http://schemas.openxmlformats.org/spreadsheetml/2006/main">
  <c r="AC297" i="29" l="1"/>
  <c r="AB297" i="29"/>
  <c r="AC296" i="29"/>
  <c r="AB296" i="29"/>
  <c r="AC295" i="29"/>
  <c r="AB295" i="29"/>
  <c r="AC294" i="29"/>
  <c r="AB294" i="29"/>
  <c r="AC293" i="29"/>
  <c r="AB293" i="29"/>
  <c r="AC292" i="29"/>
  <c r="AB292" i="29"/>
  <c r="AC291" i="29"/>
  <c r="AB291" i="29"/>
  <c r="AC290" i="29"/>
  <c r="AB290" i="29"/>
  <c r="AC289" i="29"/>
  <c r="AB289" i="29"/>
  <c r="AC288" i="29"/>
  <c r="AB288" i="29"/>
  <c r="AC287" i="29"/>
  <c r="AB287" i="29"/>
  <c r="AC286" i="29"/>
  <c r="AB286" i="29"/>
  <c r="AC285" i="29"/>
  <c r="AB285" i="29"/>
  <c r="AC284" i="29"/>
  <c r="AB284" i="29"/>
  <c r="AC283" i="29"/>
  <c r="AB283" i="29"/>
  <c r="AC282" i="29"/>
  <c r="AB282" i="29"/>
  <c r="AC281" i="29"/>
  <c r="AB281" i="29"/>
  <c r="AC280" i="29"/>
  <c r="AB280" i="29"/>
  <c r="AC279" i="29"/>
  <c r="AB279" i="29"/>
  <c r="AC278" i="29"/>
  <c r="AB278" i="29"/>
  <c r="AC277" i="29"/>
  <c r="AB277" i="29"/>
  <c r="AC276" i="29"/>
  <c r="AB276" i="29"/>
  <c r="AC275" i="29"/>
  <c r="AB275" i="29"/>
  <c r="AC274" i="29"/>
  <c r="AB274" i="29"/>
  <c r="AC273" i="29"/>
  <c r="AB273" i="29"/>
  <c r="AC272" i="29"/>
  <c r="AB272" i="29"/>
  <c r="AC271" i="29"/>
  <c r="AB271" i="29"/>
  <c r="AC270" i="29"/>
  <c r="AB270" i="29"/>
  <c r="AC269" i="29"/>
  <c r="AB269" i="29"/>
  <c r="AC268" i="29"/>
  <c r="AB268" i="29"/>
  <c r="AC267" i="29"/>
  <c r="AB267" i="29"/>
  <c r="AC266" i="29"/>
  <c r="AB266" i="29"/>
  <c r="AC265" i="29"/>
  <c r="AB265" i="29"/>
  <c r="AC264" i="29"/>
  <c r="AB264" i="29"/>
  <c r="AC263" i="29"/>
  <c r="AB263" i="29"/>
  <c r="AC262" i="29"/>
  <c r="AB262" i="29"/>
  <c r="AC261" i="29"/>
  <c r="AB261" i="29"/>
  <c r="AC260" i="29"/>
  <c r="AB260" i="29"/>
  <c r="AC259" i="29"/>
  <c r="AB259" i="29"/>
  <c r="AC258" i="29"/>
  <c r="AB258" i="29"/>
  <c r="AC257" i="29"/>
  <c r="AB257" i="29"/>
  <c r="AC256" i="29"/>
  <c r="AB256" i="29"/>
  <c r="AC255" i="29"/>
  <c r="AB255" i="29"/>
  <c r="AC254" i="29"/>
  <c r="AB254" i="29"/>
  <c r="AC253" i="29"/>
  <c r="AB253" i="29"/>
  <c r="AC252" i="29"/>
  <c r="AB252" i="29"/>
  <c r="AC251" i="29"/>
  <c r="AB251" i="29"/>
  <c r="AC250" i="29"/>
  <c r="AB250" i="29"/>
  <c r="AC249" i="29"/>
  <c r="AB249" i="29"/>
  <c r="AC248" i="29"/>
  <c r="AB248" i="29"/>
  <c r="AC247" i="29"/>
  <c r="AB247" i="29"/>
  <c r="AC246" i="29"/>
  <c r="AB246" i="29"/>
  <c r="AC245" i="29"/>
  <c r="AB245" i="29"/>
  <c r="AC244" i="29"/>
  <c r="AB244" i="29"/>
  <c r="AC243" i="29"/>
  <c r="AB243" i="29"/>
  <c r="AC242" i="29"/>
  <c r="AB242" i="29"/>
  <c r="AC241" i="29"/>
  <c r="AB241" i="29"/>
  <c r="AC240" i="29"/>
  <c r="AB240" i="29"/>
  <c r="AC239" i="29"/>
  <c r="AB239" i="29"/>
  <c r="AC238" i="29"/>
  <c r="AB238" i="29"/>
  <c r="AC237" i="29"/>
  <c r="AB237" i="29"/>
  <c r="AC236" i="29"/>
  <c r="AB236" i="29"/>
  <c r="AC235" i="29"/>
  <c r="AB235" i="29"/>
  <c r="AC234" i="29"/>
  <c r="AB234" i="29"/>
  <c r="AC233" i="29"/>
  <c r="AB233" i="29"/>
  <c r="AC232" i="29"/>
  <c r="AB232" i="29"/>
  <c r="AC231" i="29"/>
  <c r="AB231" i="29"/>
  <c r="AC230" i="29"/>
  <c r="AB230" i="29"/>
  <c r="AC229" i="29"/>
  <c r="AB229" i="29"/>
  <c r="AC228" i="29"/>
  <c r="AB228" i="29"/>
  <c r="AC227" i="29"/>
  <c r="AB227" i="29"/>
  <c r="AC226" i="29"/>
  <c r="AB226" i="29"/>
  <c r="AC225" i="29"/>
  <c r="AB225" i="29"/>
  <c r="AC224" i="29"/>
  <c r="AB224" i="29"/>
  <c r="AC223" i="29"/>
  <c r="AB223" i="29"/>
  <c r="AC222" i="29"/>
  <c r="AB222" i="29"/>
  <c r="AC221" i="29"/>
  <c r="AB221" i="29"/>
  <c r="AC220" i="29"/>
  <c r="AB220" i="29"/>
  <c r="AC219" i="29"/>
  <c r="AB219" i="29"/>
  <c r="AC218" i="29"/>
  <c r="AB218" i="29"/>
  <c r="AC217" i="29"/>
  <c r="AB217" i="29"/>
  <c r="AC216" i="29"/>
  <c r="AB216" i="29"/>
  <c r="AC215" i="29"/>
  <c r="AB215" i="29"/>
  <c r="AC214" i="29"/>
  <c r="AB214" i="29"/>
  <c r="AC213" i="29"/>
  <c r="AB213" i="29"/>
  <c r="AC212" i="29"/>
  <c r="AB212" i="29"/>
  <c r="AC211" i="29"/>
  <c r="AB211" i="29"/>
  <c r="AC210" i="29"/>
  <c r="AB210" i="29"/>
  <c r="AC209" i="29"/>
  <c r="AB209" i="29"/>
  <c r="AC208" i="29"/>
  <c r="AB208" i="29"/>
  <c r="AC207" i="29"/>
  <c r="AB207" i="29"/>
  <c r="AC206" i="29"/>
  <c r="AB206" i="29"/>
  <c r="AC205" i="29"/>
  <c r="AB205" i="29"/>
  <c r="AC204" i="29"/>
  <c r="AB204" i="29"/>
  <c r="AC203" i="29"/>
  <c r="AB203" i="29"/>
  <c r="AC202" i="29"/>
  <c r="AB202" i="29"/>
  <c r="AC201" i="29"/>
  <c r="AB201" i="29"/>
  <c r="AC200" i="29"/>
  <c r="AB200" i="29"/>
  <c r="AC199" i="29"/>
  <c r="AB199" i="29"/>
  <c r="AC198" i="29"/>
  <c r="AB198" i="29"/>
  <c r="AC197" i="29"/>
  <c r="AB197" i="29"/>
  <c r="AC196" i="29"/>
  <c r="AB196" i="29"/>
  <c r="AC195" i="29"/>
  <c r="AB195" i="29"/>
  <c r="AC194" i="29"/>
  <c r="AB194" i="29"/>
  <c r="AC193" i="29"/>
  <c r="AB193" i="29"/>
  <c r="AC192" i="29"/>
  <c r="AB192" i="29"/>
  <c r="AC191" i="29"/>
  <c r="AB191" i="29"/>
  <c r="AC190" i="29"/>
  <c r="AB190" i="29"/>
  <c r="AC189" i="29"/>
  <c r="AB189" i="29"/>
  <c r="AC188" i="29"/>
  <c r="AB188" i="29"/>
  <c r="AC187" i="29"/>
  <c r="AB187" i="29"/>
  <c r="AC186" i="29"/>
  <c r="AB186" i="29"/>
  <c r="AC185" i="29"/>
  <c r="AB185" i="29"/>
  <c r="AC184" i="29"/>
  <c r="AB184" i="29"/>
  <c r="AC183" i="29"/>
  <c r="AB183" i="29"/>
  <c r="AC182" i="29"/>
  <c r="AB182" i="29"/>
  <c r="AC181" i="29"/>
  <c r="AB181" i="29"/>
  <c r="AC180" i="29"/>
  <c r="AB180" i="29"/>
  <c r="AC179" i="29"/>
  <c r="AB179" i="29"/>
  <c r="AC178" i="29"/>
  <c r="AB178" i="29"/>
  <c r="AC177" i="29"/>
  <c r="AB177" i="29"/>
  <c r="AC176" i="29"/>
  <c r="AB176" i="29"/>
  <c r="AC175" i="29"/>
  <c r="AB175" i="29"/>
  <c r="AC174" i="29"/>
  <c r="AB174" i="29"/>
  <c r="AC173" i="29"/>
  <c r="AB173" i="29"/>
  <c r="AC172" i="29"/>
  <c r="AB172" i="29"/>
  <c r="AC171" i="29"/>
  <c r="AB171" i="29"/>
  <c r="AC170" i="29"/>
  <c r="AB170" i="29"/>
  <c r="AC169" i="29"/>
  <c r="AB169" i="29"/>
  <c r="AC168" i="29"/>
  <c r="AB168" i="29"/>
  <c r="AC167" i="29"/>
  <c r="AB167" i="29"/>
  <c r="AC166" i="29"/>
  <c r="AB166" i="29"/>
  <c r="AC165" i="29"/>
  <c r="AB165" i="29"/>
  <c r="AC164" i="29"/>
  <c r="AB164" i="29"/>
  <c r="AC163" i="29"/>
  <c r="AB163" i="29"/>
  <c r="AC162" i="29"/>
  <c r="AB162" i="29"/>
  <c r="AC161" i="29"/>
  <c r="AB161" i="29"/>
  <c r="AC160" i="29"/>
  <c r="AB160" i="29"/>
  <c r="AC159" i="29"/>
  <c r="AB159" i="29"/>
  <c r="AC158" i="29"/>
  <c r="AB158" i="29"/>
  <c r="AC157" i="29"/>
  <c r="AB157" i="29"/>
  <c r="AC156" i="29"/>
  <c r="AB156" i="29"/>
  <c r="AC155" i="29"/>
  <c r="AB155" i="29"/>
  <c r="AC154" i="29"/>
  <c r="AB154" i="29"/>
  <c r="AC153" i="29"/>
  <c r="AB153" i="29"/>
  <c r="AC152" i="29"/>
  <c r="AB152" i="29"/>
  <c r="AC151" i="29"/>
  <c r="AB151" i="29"/>
  <c r="AC150" i="29"/>
  <c r="AB150" i="29"/>
  <c r="AC149" i="29"/>
  <c r="AB149" i="29"/>
  <c r="AC148" i="29"/>
  <c r="AB148" i="29"/>
  <c r="AC147" i="29"/>
  <c r="AB147" i="29"/>
  <c r="AC146" i="29"/>
  <c r="AB146" i="29"/>
  <c r="AC145" i="29"/>
  <c r="AB145" i="29"/>
  <c r="AC144" i="29"/>
  <c r="AB144" i="29"/>
  <c r="AC143" i="29"/>
  <c r="AB143" i="29"/>
  <c r="AC142" i="29"/>
  <c r="AB142" i="29"/>
  <c r="AC141" i="29"/>
  <c r="AB141" i="29"/>
  <c r="AC140" i="29"/>
  <c r="AB140" i="29"/>
  <c r="AC139" i="29"/>
  <c r="AB139" i="29"/>
  <c r="AC138" i="29"/>
  <c r="AB138" i="29"/>
  <c r="AC137" i="29"/>
  <c r="AB137" i="29"/>
  <c r="AC136" i="29"/>
  <c r="AB136" i="29"/>
  <c r="AC135" i="29"/>
  <c r="AB135" i="29"/>
  <c r="AC134" i="29"/>
  <c r="AB134" i="29"/>
  <c r="AC133" i="29"/>
  <c r="AB133" i="29"/>
  <c r="AC132" i="29"/>
  <c r="AB132" i="29"/>
  <c r="AC131" i="29"/>
  <c r="AB131" i="29"/>
  <c r="AC130" i="29"/>
  <c r="AB130" i="29"/>
  <c r="AC129" i="29"/>
  <c r="AB129" i="29"/>
  <c r="AC128" i="29"/>
  <c r="AB128" i="29"/>
  <c r="AC127" i="29"/>
  <c r="AB127" i="29"/>
  <c r="AC126" i="29"/>
  <c r="AB126" i="29"/>
  <c r="AC125" i="29"/>
  <c r="AB125" i="29"/>
  <c r="AC124" i="29"/>
  <c r="AB124" i="29"/>
  <c r="AC123" i="29"/>
  <c r="AB123" i="29"/>
  <c r="AC122" i="29"/>
  <c r="AB122" i="29"/>
  <c r="AC121" i="29"/>
  <c r="AB121" i="29"/>
  <c r="AC120" i="29"/>
  <c r="AB120" i="29"/>
  <c r="AC119" i="29"/>
  <c r="AB119" i="29"/>
  <c r="AC118" i="29"/>
  <c r="AB118" i="29"/>
  <c r="AC117" i="29"/>
  <c r="AB117" i="29"/>
  <c r="AC116" i="29"/>
  <c r="AB116" i="29"/>
  <c r="AC115" i="29"/>
  <c r="AB115" i="29"/>
  <c r="AC114" i="29"/>
  <c r="AB114" i="29"/>
  <c r="AC113" i="29"/>
  <c r="AB113" i="29"/>
  <c r="AC112" i="29"/>
  <c r="AB112" i="29"/>
  <c r="AC111" i="29"/>
  <c r="AB111" i="29"/>
  <c r="AC110" i="29"/>
  <c r="AB110" i="29"/>
  <c r="AC109" i="29"/>
  <c r="AB109" i="29"/>
  <c r="AC108" i="29"/>
  <c r="AB108" i="29"/>
  <c r="AC107" i="29"/>
  <c r="AB107" i="29"/>
  <c r="AC106" i="29"/>
  <c r="AB106" i="29"/>
  <c r="AC105" i="29"/>
  <c r="AB105" i="29"/>
  <c r="AC104" i="29"/>
  <c r="AB104" i="29"/>
  <c r="AC103" i="29"/>
  <c r="AB103" i="29"/>
  <c r="AC102" i="29"/>
  <c r="AB102" i="29"/>
  <c r="AC101" i="29"/>
  <c r="AB101" i="29"/>
  <c r="AC100" i="29"/>
  <c r="AB100" i="29"/>
  <c r="AC99" i="29"/>
  <c r="AB99" i="29"/>
  <c r="AC98" i="29"/>
  <c r="AB98" i="29"/>
  <c r="AC97" i="29"/>
  <c r="AB97" i="29"/>
  <c r="AC96" i="29"/>
  <c r="AB96" i="29"/>
  <c r="AC95" i="29"/>
  <c r="AB95" i="29"/>
  <c r="AC94" i="29"/>
  <c r="AB94" i="29"/>
  <c r="AC93" i="29"/>
  <c r="AB93" i="29"/>
  <c r="AC92" i="29"/>
  <c r="AB92" i="29"/>
  <c r="AC91" i="29"/>
  <c r="AB91" i="29"/>
  <c r="AC90" i="29"/>
  <c r="AB90" i="29"/>
  <c r="AC89" i="29"/>
  <c r="AB89" i="29"/>
  <c r="AC88" i="29"/>
  <c r="AB88" i="29"/>
  <c r="AC87" i="29"/>
  <c r="AB87" i="29"/>
  <c r="AC86" i="29"/>
  <c r="AB86" i="29"/>
  <c r="AC85" i="29"/>
  <c r="AB85" i="29"/>
  <c r="AC84" i="29"/>
  <c r="AB84" i="29"/>
  <c r="AC83" i="29"/>
  <c r="AB83" i="29"/>
  <c r="AC82" i="29"/>
  <c r="AB82" i="29"/>
  <c r="AC81" i="29"/>
  <c r="AB81" i="29"/>
  <c r="AC80" i="29"/>
  <c r="AB80" i="29"/>
  <c r="AC79" i="29"/>
  <c r="AB79" i="29"/>
  <c r="AC78" i="29"/>
  <c r="AB78" i="29"/>
  <c r="AC77" i="29"/>
  <c r="AB77" i="29"/>
  <c r="AC76" i="29"/>
  <c r="AB76" i="29"/>
  <c r="AC75" i="29"/>
  <c r="AB75" i="29"/>
  <c r="AC74" i="29"/>
  <c r="AB74" i="29"/>
  <c r="AC73" i="29"/>
  <c r="AB73" i="29"/>
  <c r="AC72" i="29"/>
  <c r="AB72" i="29"/>
  <c r="AC71" i="29"/>
  <c r="AB71" i="29"/>
  <c r="AC70" i="29"/>
  <c r="AB70" i="29"/>
  <c r="AC69" i="29"/>
  <c r="AB69" i="29"/>
  <c r="AC68" i="29"/>
  <c r="AB68" i="29"/>
  <c r="AC67" i="29"/>
  <c r="AB67" i="29"/>
  <c r="AC66" i="29"/>
  <c r="AB66" i="29"/>
  <c r="AC65" i="29"/>
  <c r="AB65" i="29"/>
  <c r="AC64" i="29"/>
  <c r="AB64" i="29"/>
  <c r="AC63" i="29"/>
  <c r="AB63" i="29"/>
  <c r="AC62" i="29"/>
  <c r="AB62" i="29"/>
  <c r="AC61" i="29"/>
  <c r="AB61" i="29"/>
  <c r="AC60" i="29"/>
  <c r="AB60" i="29"/>
  <c r="AC59" i="29"/>
  <c r="AB59" i="29"/>
  <c r="AC58" i="29"/>
  <c r="AB58" i="29"/>
  <c r="AC57" i="29"/>
  <c r="AB57" i="29"/>
  <c r="AC56" i="29"/>
  <c r="AB56" i="29"/>
  <c r="AC55" i="29"/>
  <c r="AB55" i="29"/>
  <c r="AC54" i="29"/>
  <c r="AB54" i="29"/>
  <c r="AC53" i="29"/>
  <c r="AB53" i="29"/>
  <c r="AC52" i="29"/>
  <c r="AB52" i="29"/>
  <c r="AC51" i="29"/>
  <c r="AB51" i="29"/>
  <c r="AC50" i="29"/>
  <c r="AB50" i="29"/>
  <c r="AC49" i="29"/>
  <c r="AB49" i="29"/>
  <c r="AC48" i="29"/>
  <c r="AB48" i="29"/>
  <c r="AC47" i="29"/>
  <c r="AB47" i="29"/>
  <c r="AC46" i="29"/>
  <c r="AB46" i="29"/>
  <c r="AC45" i="29"/>
  <c r="AB45" i="29"/>
  <c r="AC44" i="29"/>
  <c r="AB44" i="29"/>
  <c r="AC43" i="29"/>
  <c r="AB43" i="29"/>
  <c r="AC42" i="29"/>
  <c r="AB42" i="29"/>
  <c r="AC41" i="29"/>
  <c r="AB41" i="29"/>
  <c r="AC40" i="29"/>
  <c r="AB40" i="29"/>
  <c r="AC39" i="29"/>
  <c r="AB39" i="29"/>
  <c r="AC38" i="29"/>
  <c r="AB38" i="29"/>
  <c r="AC37" i="29"/>
  <c r="AB37" i="29"/>
  <c r="AC36" i="29"/>
  <c r="AB36" i="29"/>
  <c r="AC35" i="29"/>
  <c r="AB35" i="29"/>
  <c r="AC34" i="29"/>
  <c r="AB34" i="29"/>
  <c r="AC33" i="29"/>
  <c r="AB33" i="29"/>
  <c r="AC32" i="29"/>
  <c r="AB32" i="29"/>
  <c r="AC31" i="29"/>
  <c r="AB31" i="29"/>
  <c r="AC30" i="29"/>
  <c r="AB30" i="29"/>
  <c r="AC29" i="29"/>
  <c r="AB29" i="29"/>
  <c r="AC28" i="29"/>
  <c r="AB28" i="29"/>
  <c r="AC27" i="29"/>
  <c r="AB27" i="29"/>
  <c r="AC26" i="29"/>
  <c r="AB26" i="29"/>
  <c r="AC25" i="29"/>
  <c r="AB25" i="29"/>
  <c r="AC24" i="29"/>
  <c r="AB24" i="29"/>
  <c r="AC23" i="29"/>
  <c r="AB23" i="29"/>
  <c r="AC22" i="29"/>
  <c r="AB22" i="29"/>
  <c r="AC21" i="29"/>
  <c r="AB21" i="29"/>
  <c r="AC20" i="29"/>
  <c r="AB20" i="29"/>
  <c r="AC19" i="29"/>
  <c r="AB19" i="29"/>
  <c r="AC18" i="29"/>
  <c r="AB18" i="29"/>
  <c r="AC17" i="29"/>
  <c r="AB17" i="29"/>
  <c r="AC16" i="29"/>
  <c r="AB16" i="29"/>
  <c r="AC15" i="29"/>
  <c r="AB15" i="29"/>
  <c r="AC14" i="29"/>
  <c r="AB14" i="29"/>
  <c r="AC13" i="29"/>
  <c r="AB13" i="29"/>
  <c r="AC12" i="29"/>
  <c r="AB12" i="29"/>
  <c r="AC11" i="29"/>
  <c r="AB11" i="29"/>
  <c r="AC10" i="29"/>
  <c r="AB10" i="29"/>
  <c r="AC9" i="29"/>
  <c r="AB9" i="29"/>
  <c r="AC8" i="29"/>
  <c r="AB8" i="29"/>
  <c r="AC7" i="29"/>
  <c r="AB7" i="29"/>
  <c r="AC6" i="29"/>
  <c r="AB6" i="29"/>
  <c r="AC5" i="29"/>
  <c r="AB5" i="29"/>
  <c r="AC4" i="29"/>
  <c r="AB4" i="29"/>
  <c r="H4" i="28" l="1"/>
  <c r="G4" i="28"/>
  <c r="D19" i="27" l="1"/>
  <c r="D18" i="27"/>
  <c r="D17" i="27"/>
  <c r="D16" i="27"/>
  <c r="AJ14" i="27"/>
  <c r="AJ19" i="27" s="1"/>
  <c r="AI14" i="27"/>
  <c r="AI19" i="27" s="1"/>
  <c r="AH14" i="27"/>
  <c r="AH19" i="27" s="1"/>
  <c r="AG14" i="27"/>
  <c r="AG19" i="27" s="1"/>
  <c r="AF14" i="27"/>
  <c r="AF19" i="27" s="1"/>
  <c r="AE14" i="27"/>
  <c r="AE19" i="27" s="1"/>
  <c r="AD14" i="27"/>
  <c r="AD19" i="27" s="1"/>
  <c r="AC14" i="27"/>
  <c r="AC19" i="27" s="1"/>
  <c r="AB14" i="27"/>
  <c r="AB19" i="27" s="1"/>
  <c r="AA14" i="27"/>
  <c r="AA19" i="27" s="1"/>
  <c r="Z14" i="27"/>
  <c r="Z19" i="27" s="1"/>
  <c r="Y14" i="27"/>
  <c r="Y19" i="27" s="1"/>
  <c r="X14" i="27"/>
  <c r="X19" i="27" s="1"/>
  <c r="W14" i="27"/>
  <c r="W19" i="27" s="1"/>
  <c r="V14" i="27"/>
  <c r="V19" i="27" s="1"/>
  <c r="U14" i="27"/>
  <c r="U19" i="27" s="1"/>
  <c r="T14" i="27"/>
  <c r="T19" i="27" s="1"/>
  <c r="S14" i="27"/>
  <c r="S19" i="27" s="1"/>
  <c r="R14" i="27"/>
  <c r="R19" i="27" s="1"/>
  <c r="Q14" i="27"/>
  <c r="Q19" i="27" s="1"/>
  <c r="P14" i="27"/>
  <c r="P19" i="27" s="1"/>
  <c r="O14" i="27"/>
  <c r="O19" i="27" s="1"/>
  <c r="N14" i="27"/>
  <c r="N19" i="27" s="1"/>
  <c r="M14" i="27"/>
  <c r="M19" i="27" s="1"/>
  <c r="L14" i="27"/>
  <c r="L19" i="27" s="1"/>
  <c r="K14" i="27"/>
  <c r="K19" i="27" s="1"/>
  <c r="J14" i="27"/>
  <c r="J19" i="27" s="1"/>
  <c r="I14" i="27"/>
  <c r="I19" i="27" s="1"/>
  <c r="H14" i="27"/>
  <c r="H19" i="27" s="1"/>
  <c r="G14" i="27"/>
  <c r="G19" i="27" s="1"/>
  <c r="D14" i="27"/>
  <c r="AJ13" i="27"/>
  <c r="AJ18" i="27" s="1"/>
  <c r="AI13" i="27"/>
  <c r="AI18" i="27" s="1"/>
  <c r="AH13" i="27"/>
  <c r="AH18" i="27" s="1"/>
  <c r="AG13" i="27"/>
  <c r="AG18" i="27" s="1"/>
  <c r="AF13" i="27"/>
  <c r="AF18" i="27" s="1"/>
  <c r="AE13" i="27"/>
  <c r="AE18" i="27" s="1"/>
  <c r="AD13" i="27"/>
  <c r="AD18" i="27" s="1"/>
  <c r="AC13" i="27"/>
  <c r="AC18" i="27" s="1"/>
  <c r="AB13" i="27"/>
  <c r="AB18" i="27" s="1"/>
  <c r="AA13" i="27"/>
  <c r="AA18" i="27" s="1"/>
  <c r="Z13" i="27"/>
  <c r="Z18" i="27" s="1"/>
  <c r="Y13" i="27"/>
  <c r="Y18" i="27" s="1"/>
  <c r="X13" i="27"/>
  <c r="X18" i="27" s="1"/>
  <c r="W13" i="27"/>
  <c r="W18" i="27" s="1"/>
  <c r="V13" i="27"/>
  <c r="V18" i="27" s="1"/>
  <c r="U13" i="27"/>
  <c r="U18" i="27" s="1"/>
  <c r="T13" i="27"/>
  <c r="T18" i="27" s="1"/>
  <c r="S13" i="27"/>
  <c r="S18" i="27" s="1"/>
  <c r="R13" i="27"/>
  <c r="R18" i="27" s="1"/>
  <c r="Q13" i="27"/>
  <c r="Q18" i="27" s="1"/>
  <c r="P13" i="27"/>
  <c r="P18" i="27" s="1"/>
  <c r="O13" i="27"/>
  <c r="O18" i="27" s="1"/>
  <c r="N13" i="27"/>
  <c r="N18" i="27" s="1"/>
  <c r="M13" i="27"/>
  <c r="M18" i="27" s="1"/>
  <c r="L13" i="27"/>
  <c r="L18" i="27" s="1"/>
  <c r="K13" i="27"/>
  <c r="K18" i="27" s="1"/>
  <c r="J13" i="27"/>
  <c r="J18" i="27" s="1"/>
  <c r="I13" i="27"/>
  <c r="I18" i="27" s="1"/>
  <c r="H13" i="27"/>
  <c r="H18" i="27" s="1"/>
  <c r="G13" i="27"/>
  <c r="G18" i="27" s="1"/>
  <c r="D13" i="27"/>
  <c r="AJ12" i="27"/>
  <c r="AJ17" i="27" s="1"/>
  <c r="AI12" i="27"/>
  <c r="AI17" i="27" s="1"/>
  <c r="AH12" i="27"/>
  <c r="AH17" i="27" s="1"/>
  <c r="AG12" i="27"/>
  <c r="AG17" i="27" s="1"/>
  <c r="AF12" i="27"/>
  <c r="AF17" i="27" s="1"/>
  <c r="AE12" i="27"/>
  <c r="AE17" i="27" s="1"/>
  <c r="AD12" i="27"/>
  <c r="AD17" i="27" s="1"/>
  <c r="AC12" i="27"/>
  <c r="AC17" i="27" s="1"/>
  <c r="AB12" i="27"/>
  <c r="AB17" i="27" s="1"/>
  <c r="AA12" i="27"/>
  <c r="AA17" i="27" s="1"/>
  <c r="Z12" i="27"/>
  <c r="Z17" i="27" s="1"/>
  <c r="Y12" i="27"/>
  <c r="Y17" i="27" s="1"/>
  <c r="X12" i="27"/>
  <c r="X17" i="27" s="1"/>
  <c r="W12" i="27"/>
  <c r="W17" i="27" s="1"/>
  <c r="V12" i="27"/>
  <c r="V17" i="27" s="1"/>
  <c r="U12" i="27"/>
  <c r="U17" i="27" s="1"/>
  <c r="T12" i="27"/>
  <c r="T17" i="27" s="1"/>
  <c r="S12" i="27"/>
  <c r="S17" i="27" s="1"/>
  <c r="R12" i="27"/>
  <c r="R17" i="27" s="1"/>
  <c r="Q12" i="27"/>
  <c r="Q17" i="27" s="1"/>
  <c r="P12" i="27"/>
  <c r="P17" i="27" s="1"/>
  <c r="O12" i="27"/>
  <c r="O17" i="27" s="1"/>
  <c r="N12" i="27"/>
  <c r="N17" i="27" s="1"/>
  <c r="M12" i="27"/>
  <c r="M17" i="27" s="1"/>
  <c r="L12" i="27"/>
  <c r="L17" i="27" s="1"/>
  <c r="K12" i="27"/>
  <c r="K17" i="27" s="1"/>
  <c r="J12" i="27"/>
  <c r="J17" i="27" s="1"/>
  <c r="I12" i="27"/>
  <c r="I17" i="27" s="1"/>
  <c r="H12" i="27"/>
  <c r="H17" i="27" s="1"/>
  <c r="G12" i="27"/>
  <c r="G17" i="27" s="1"/>
  <c r="D12" i="27"/>
  <c r="AJ11" i="27"/>
  <c r="AJ16" i="27" s="1"/>
  <c r="AI11" i="27"/>
  <c r="AI16" i="27" s="1"/>
  <c r="AH11" i="27"/>
  <c r="AH16" i="27" s="1"/>
  <c r="AG11" i="27"/>
  <c r="AG16" i="27" s="1"/>
  <c r="AF11" i="27"/>
  <c r="AF16" i="27" s="1"/>
  <c r="AE11" i="27"/>
  <c r="AE16" i="27" s="1"/>
  <c r="AD11" i="27"/>
  <c r="AD16" i="27" s="1"/>
  <c r="AC11" i="27"/>
  <c r="AC16" i="27" s="1"/>
  <c r="AB11" i="27"/>
  <c r="AB16" i="27" s="1"/>
  <c r="AA11" i="27"/>
  <c r="AA16" i="27" s="1"/>
  <c r="Z11" i="27"/>
  <c r="Z16" i="27" s="1"/>
  <c r="Y11" i="27"/>
  <c r="Y16" i="27" s="1"/>
  <c r="X11" i="27"/>
  <c r="X16" i="27" s="1"/>
  <c r="W11" i="27"/>
  <c r="W16" i="27" s="1"/>
  <c r="V11" i="27"/>
  <c r="V16" i="27" s="1"/>
  <c r="U11" i="27"/>
  <c r="U16" i="27" s="1"/>
  <c r="T11" i="27"/>
  <c r="T16" i="27" s="1"/>
  <c r="S11" i="27"/>
  <c r="S16" i="27" s="1"/>
  <c r="R11" i="27"/>
  <c r="R16" i="27" s="1"/>
  <c r="Q11" i="27"/>
  <c r="Q16" i="27" s="1"/>
  <c r="P11" i="27"/>
  <c r="P16" i="27" s="1"/>
  <c r="O11" i="27"/>
  <c r="O16" i="27" s="1"/>
  <c r="N11" i="27"/>
  <c r="N16" i="27" s="1"/>
  <c r="M11" i="27"/>
  <c r="M16" i="27" s="1"/>
  <c r="L11" i="27"/>
  <c r="L16" i="27" s="1"/>
  <c r="K11" i="27"/>
  <c r="K16" i="27" s="1"/>
  <c r="J11" i="27"/>
  <c r="J16" i="27" s="1"/>
  <c r="I11" i="27"/>
  <c r="I16" i="27" s="1"/>
  <c r="H11" i="27"/>
  <c r="H16" i="27" s="1"/>
  <c r="G11" i="27"/>
  <c r="G16" i="27" s="1"/>
  <c r="D11" i="27"/>
  <c r="F9" i="27" l="1"/>
  <c r="F7" i="27"/>
  <c r="F6" i="27"/>
  <c r="F8" i="27"/>
  <c r="N129" i="26"/>
  <c r="N128" i="26"/>
  <c r="N127" i="26"/>
  <c r="N126" i="26"/>
  <c r="N125" i="26"/>
  <c r="N124" i="26"/>
  <c r="N123" i="26"/>
  <c r="N122" i="26"/>
  <c r="N121" i="26"/>
  <c r="N120" i="26"/>
  <c r="N119" i="26"/>
  <c r="N118" i="26"/>
  <c r="N117" i="26"/>
  <c r="N116" i="26"/>
  <c r="N115" i="26"/>
  <c r="N114" i="26"/>
  <c r="N113" i="26"/>
  <c r="N112" i="26"/>
  <c r="N111" i="26"/>
  <c r="N110" i="26"/>
  <c r="N109" i="26"/>
  <c r="N108" i="26"/>
  <c r="N107" i="26"/>
  <c r="N106" i="26"/>
  <c r="N105" i="26"/>
  <c r="N104" i="26"/>
  <c r="N103" i="26"/>
  <c r="N102" i="26"/>
  <c r="N101" i="26"/>
  <c r="N100" i="26"/>
  <c r="N99" i="26"/>
  <c r="N98" i="26"/>
  <c r="N97" i="26"/>
  <c r="N96" i="26"/>
  <c r="N95" i="26"/>
  <c r="N94" i="26"/>
  <c r="N93" i="26"/>
  <c r="N92" i="26"/>
  <c r="N91" i="26"/>
  <c r="N90" i="26"/>
  <c r="N89" i="26"/>
  <c r="N88" i="26"/>
  <c r="N87" i="26"/>
  <c r="N86" i="26"/>
  <c r="N85" i="26"/>
  <c r="N84" i="26"/>
  <c r="N83" i="26"/>
  <c r="N82" i="26"/>
  <c r="N81" i="26"/>
  <c r="N80" i="26"/>
  <c r="N79" i="26"/>
  <c r="N78" i="26"/>
  <c r="N77" i="26"/>
  <c r="N76" i="26"/>
  <c r="N75" i="26"/>
  <c r="N74" i="26"/>
  <c r="N73" i="26"/>
  <c r="N72" i="26"/>
  <c r="N71" i="26"/>
  <c r="N70" i="26"/>
  <c r="N69" i="26"/>
  <c r="N68" i="26"/>
  <c r="N67" i="26"/>
  <c r="N66" i="26"/>
  <c r="N65" i="26"/>
  <c r="N64" i="26"/>
  <c r="N63" i="26"/>
  <c r="N62" i="26"/>
  <c r="N61" i="26"/>
  <c r="N60" i="26"/>
  <c r="N59" i="26"/>
  <c r="N58" i="26"/>
  <c r="N57" i="26"/>
  <c r="N56" i="26"/>
  <c r="N55" i="26"/>
  <c r="N54" i="26"/>
  <c r="N53" i="26"/>
  <c r="N52" i="26"/>
  <c r="N51" i="26"/>
  <c r="N50" i="26"/>
  <c r="N49" i="26"/>
  <c r="N48" i="26"/>
  <c r="N47" i="26"/>
  <c r="N46" i="26"/>
  <c r="N45" i="26"/>
  <c r="N44" i="26"/>
  <c r="N43" i="26"/>
  <c r="N42" i="26"/>
  <c r="N41" i="26"/>
  <c r="N40" i="26"/>
  <c r="N39" i="26"/>
  <c r="N38" i="26"/>
  <c r="N37" i="26"/>
  <c r="N36" i="26"/>
  <c r="N35" i="26"/>
  <c r="N34" i="26"/>
  <c r="N33" i="26"/>
  <c r="N32" i="26"/>
  <c r="N31" i="26"/>
  <c r="N30" i="26"/>
  <c r="N29" i="26"/>
  <c r="N28" i="26"/>
  <c r="N27" i="26"/>
  <c r="N26" i="26"/>
  <c r="N25" i="26"/>
  <c r="N24" i="26"/>
  <c r="N23" i="26"/>
  <c r="N22" i="26"/>
  <c r="N21" i="26"/>
  <c r="N20" i="26"/>
  <c r="N19" i="26"/>
  <c r="N18" i="26"/>
  <c r="N17" i="26"/>
  <c r="N16" i="26"/>
  <c r="N15" i="26"/>
  <c r="N14" i="26"/>
  <c r="N13" i="26"/>
  <c r="N12" i="26"/>
  <c r="N11" i="26"/>
  <c r="N10" i="26"/>
  <c r="N9" i="26"/>
  <c r="N8" i="26"/>
  <c r="N7" i="26"/>
  <c r="N6" i="26"/>
  <c r="N5" i="26"/>
  <c r="N4" i="26"/>
  <c r="AH10" i="24" l="1"/>
  <c r="AH16" i="24"/>
  <c r="AH22" i="24"/>
  <c r="AH28" i="24"/>
  <c r="AH34" i="24"/>
  <c r="AH40" i="24"/>
  <c r="AH46" i="24"/>
  <c r="AH52" i="24"/>
  <c r="AH58" i="24"/>
  <c r="AH64" i="24"/>
  <c r="AH70" i="24"/>
  <c r="AH76" i="24"/>
  <c r="AH82" i="24"/>
  <c r="AH88" i="24"/>
  <c r="AH94" i="24"/>
  <c r="AH100" i="24"/>
  <c r="AH106" i="24"/>
  <c r="AH112" i="24"/>
  <c r="AH118" i="24"/>
  <c r="AH124" i="24"/>
  <c r="AH130" i="24"/>
  <c r="AH136" i="24"/>
  <c r="AH142" i="24"/>
  <c r="AH148" i="24"/>
  <c r="AH154" i="24"/>
  <c r="AH160" i="24"/>
  <c r="AH166" i="24"/>
  <c r="AH172" i="24"/>
  <c r="AH178" i="24"/>
  <c r="AH184" i="24"/>
  <c r="AH190" i="24"/>
  <c r="AH196" i="24"/>
  <c r="AH202" i="24"/>
  <c r="AH208" i="24"/>
  <c r="AH214" i="24"/>
  <c r="AH220" i="24"/>
  <c r="AH226" i="24"/>
  <c r="AH232" i="24"/>
  <c r="AH238" i="24"/>
  <c r="AH244" i="24"/>
  <c r="AH250" i="24"/>
  <c r="AH256" i="24"/>
  <c r="AH262" i="24"/>
  <c r="AH268" i="24"/>
  <c r="AH274" i="24"/>
  <c r="AH280" i="24"/>
  <c r="AH286" i="24"/>
  <c r="AH292" i="24"/>
  <c r="AH298" i="24"/>
  <c r="AH304" i="24"/>
  <c r="AH310" i="24"/>
  <c r="AH316" i="24"/>
  <c r="AH322" i="24"/>
  <c r="AH328" i="24"/>
  <c r="AH334" i="24"/>
  <c r="AH340" i="24"/>
  <c r="AH346" i="24"/>
  <c r="AH352" i="24"/>
  <c r="AH358" i="24"/>
  <c r="AH364" i="24"/>
  <c r="AH370" i="24"/>
  <c r="AH376" i="24"/>
  <c r="AH382" i="24"/>
  <c r="AH388" i="24"/>
  <c r="AH394" i="24"/>
  <c r="AH400" i="24"/>
  <c r="AH406" i="24"/>
  <c r="AH412" i="24"/>
  <c r="AH418" i="24"/>
  <c r="AH424" i="24"/>
  <c r="AH430" i="24"/>
  <c r="AH436" i="24"/>
  <c r="AH442" i="24"/>
  <c r="AH448" i="24"/>
  <c r="AH454" i="24"/>
  <c r="AH460" i="24"/>
  <c r="AH466" i="24"/>
  <c r="AH472" i="24"/>
  <c r="AH478" i="24"/>
  <c r="AH484" i="24"/>
  <c r="AH490" i="24"/>
  <c r="AH496" i="24"/>
  <c r="AH502" i="24"/>
  <c r="AH508" i="24"/>
  <c r="AH514" i="24"/>
  <c r="AH520" i="24"/>
  <c r="AH526" i="24"/>
  <c r="AH532" i="24"/>
  <c r="AH538" i="24"/>
  <c r="AH544" i="24"/>
  <c r="AH550" i="24"/>
  <c r="AH556" i="24"/>
  <c r="AH562" i="24"/>
  <c r="AH568" i="24"/>
  <c r="AH574" i="24"/>
  <c r="AH580" i="24"/>
  <c r="AH586" i="24"/>
  <c r="AH592" i="24"/>
  <c r="AH598" i="24"/>
  <c r="AH604" i="24"/>
  <c r="AH610" i="24"/>
  <c r="AH616" i="24"/>
  <c r="AH622" i="24"/>
  <c r="AH628" i="24"/>
  <c r="AH634" i="24"/>
  <c r="AH640" i="24"/>
  <c r="AH646" i="24"/>
  <c r="AH652" i="24"/>
  <c r="AH658" i="24"/>
  <c r="AH664" i="24"/>
  <c r="AH670" i="24"/>
  <c r="AH676" i="24"/>
  <c r="AH682" i="24"/>
  <c r="AH688" i="24"/>
  <c r="AH694" i="24"/>
  <c r="AH700" i="24"/>
  <c r="AH706" i="24"/>
  <c r="AH712" i="24"/>
  <c r="AH718" i="24"/>
  <c r="AH724" i="24"/>
  <c r="AH730" i="24"/>
  <c r="AH736" i="24"/>
  <c r="AH742" i="24"/>
  <c r="AH748" i="24"/>
  <c r="AH754" i="24"/>
  <c r="AH760" i="24"/>
  <c r="AH766" i="24"/>
  <c r="AH772" i="24"/>
  <c r="AH778" i="24"/>
  <c r="AH784" i="24"/>
  <c r="AH790" i="24"/>
  <c r="AH796" i="24"/>
  <c r="AH802" i="24"/>
  <c r="AH808" i="24"/>
  <c r="AH814" i="24"/>
  <c r="AH820" i="24"/>
  <c r="AH826" i="24"/>
  <c r="AH832" i="24"/>
  <c r="AH838" i="24"/>
  <c r="AH844" i="24"/>
  <c r="AH850" i="24"/>
  <c r="AH856" i="24"/>
  <c r="AH862" i="24"/>
  <c r="AH868" i="24"/>
  <c r="AH874" i="24"/>
  <c r="AH880" i="24"/>
  <c r="AH886" i="24"/>
  <c r="AH892" i="24"/>
  <c r="AH898" i="24"/>
  <c r="AH904" i="24"/>
  <c r="AH910" i="24"/>
  <c r="AH916" i="24"/>
  <c r="AH4" i="24"/>
  <c r="Z4" i="24" l="1"/>
  <c r="AA4" i="24" s="1"/>
  <c r="Z5" i="24"/>
  <c r="Z6" i="24"/>
  <c r="Z7" i="24"/>
  <c r="Z8" i="24"/>
  <c r="Z9" i="24"/>
  <c r="Z10" i="24"/>
  <c r="AA10" i="24" s="1"/>
  <c r="Z11" i="24"/>
  <c r="Z12" i="24"/>
  <c r="Z13" i="24"/>
  <c r="Z14" i="24"/>
  <c r="Z15" i="24"/>
  <c r="Z16" i="24"/>
  <c r="AA16" i="24" s="1"/>
  <c r="Z17" i="24"/>
  <c r="Z18" i="24"/>
  <c r="Z19" i="24"/>
  <c r="Z20" i="24"/>
  <c r="Z21" i="24"/>
  <c r="Z22" i="24"/>
  <c r="AA22" i="24" s="1"/>
  <c r="Z23" i="24"/>
  <c r="Z24" i="24"/>
  <c r="Z25" i="24"/>
  <c r="Z26" i="24"/>
  <c r="Z27" i="24"/>
  <c r="Z28" i="24"/>
  <c r="AA28" i="24" s="1"/>
  <c r="Z29" i="24"/>
  <c r="Z30" i="24"/>
  <c r="Z31" i="24"/>
  <c r="Z32" i="24"/>
  <c r="Z33" i="24"/>
  <c r="Z34" i="24"/>
  <c r="AA34" i="24" s="1"/>
  <c r="Z35" i="24"/>
  <c r="Z36" i="24"/>
  <c r="Z37" i="24"/>
  <c r="Z38" i="24"/>
  <c r="Z39" i="24"/>
  <c r="Z40" i="24"/>
  <c r="AA40" i="24" s="1"/>
  <c r="Z41" i="24"/>
  <c r="Z42" i="24"/>
  <c r="Z43" i="24"/>
  <c r="Z44" i="24"/>
  <c r="Z45" i="24"/>
  <c r="Z46" i="24"/>
  <c r="AA46" i="24" s="1"/>
  <c r="Z47" i="24"/>
  <c r="Z48" i="24"/>
  <c r="Z49" i="24"/>
  <c r="Z50" i="24"/>
  <c r="Z51" i="24"/>
  <c r="Z52" i="24"/>
  <c r="AA52" i="24" s="1"/>
  <c r="Z53" i="24"/>
  <c r="Z54" i="24"/>
  <c r="Z55" i="24"/>
  <c r="Z56" i="24"/>
  <c r="Z57" i="24"/>
  <c r="Z58" i="24"/>
  <c r="AA58" i="24" s="1"/>
  <c r="Z59" i="24"/>
  <c r="Z60" i="24"/>
  <c r="Z61" i="24"/>
  <c r="Z62" i="24"/>
  <c r="Z63" i="24"/>
  <c r="Z64" i="24"/>
  <c r="AA64" i="24" s="1"/>
  <c r="Z65" i="24"/>
  <c r="Z66" i="24"/>
  <c r="Z67" i="24"/>
  <c r="Z68" i="24"/>
  <c r="Z69" i="24"/>
  <c r="Z70" i="24"/>
  <c r="AA70" i="24" s="1"/>
  <c r="Z71" i="24"/>
  <c r="Z72" i="24"/>
  <c r="Z73" i="24"/>
  <c r="Z74" i="24"/>
  <c r="Z75" i="24"/>
  <c r="Z76" i="24"/>
  <c r="AA76" i="24" s="1"/>
  <c r="Z77" i="24"/>
  <c r="Z78" i="24"/>
  <c r="Z79" i="24"/>
  <c r="Z80" i="24"/>
  <c r="Z81" i="24"/>
  <c r="Z82" i="24"/>
  <c r="AA82" i="24" s="1"/>
  <c r="Z83" i="24"/>
  <c r="Z84" i="24"/>
  <c r="Z85" i="24"/>
  <c r="Z86" i="24"/>
  <c r="Z87" i="24"/>
  <c r="Z88" i="24"/>
  <c r="AA88" i="24" s="1"/>
  <c r="Z89" i="24"/>
  <c r="Z90" i="24"/>
  <c r="Z91" i="24"/>
  <c r="Z92" i="24"/>
  <c r="Z93" i="24"/>
  <c r="Z94" i="24"/>
  <c r="AA94" i="24" s="1"/>
  <c r="Z95" i="24"/>
  <c r="Z96" i="24"/>
  <c r="Z97" i="24"/>
  <c r="Z98" i="24"/>
  <c r="Z99" i="24"/>
  <c r="Z100" i="24"/>
  <c r="AA100" i="24" s="1"/>
  <c r="Z101" i="24"/>
  <c r="Z102" i="24"/>
  <c r="Z103" i="24"/>
  <c r="Z104" i="24"/>
  <c r="Z105" i="24"/>
  <c r="Z106" i="24"/>
  <c r="AA106" i="24" s="1"/>
  <c r="Z107" i="24"/>
  <c r="Z108" i="24"/>
  <c r="Z109" i="24"/>
  <c r="Z110" i="24"/>
  <c r="Z111" i="24"/>
  <c r="Z112" i="24"/>
  <c r="AA112" i="24" s="1"/>
  <c r="Z113" i="24"/>
  <c r="Z114" i="24"/>
  <c r="Z115" i="24"/>
  <c r="Z116" i="24"/>
  <c r="Z117" i="24"/>
  <c r="Z118" i="24"/>
  <c r="AA118" i="24" s="1"/>
  <c r="Z119" i="24"/>
  <c r="Z120" i="24"/>
  <c r="Z121" i="24"/>
  <c r="Z122" i="24"/>
  <c r="Z123" i="24"/>
  <c r="Z124" i="24"/>
  <c r="AA124" i="24" s="1"/>
  <c r="Z125" i="24"/>
  <c r="Z126" i="24"/>
  <c r="Z127" i="24"/>
  <c r="Z128" i="24"/>
  <c r="Z129" i="24"/>
  <c r="Z130" i="24"/>
  <c r="AA130" i="24" s="1"/>
  <c r="Z131" i="24"/>
  <c r="Z132" i="24"/>
  <c r="Z133" i="24"/>
  <c r="Z134" i="24"/>
  <c r="Z135" i="24"/>
  <c r="Z136" i="24"/>
  <c r="AA136" i="24" s="1"/>
  <c r="Z137" i="24"/>
  <c r="Z138" i="24"/>
  <c r="Z139" i="24"/>
  <c r="Z140" i="24"/>
  <c r="Z141" i="24"/>
  <c r="Z142" i="24"/>
  <c r="AA142" i="24" s="1"/>
  <c r="Z143" i="24"/>
  <c r="Z144" i="24"/>
  <c r="Z145" i="24"/>
  <c r="Z146" i="24"/>
  <c r="Z147" i="24"/>
  <c r="Z148" i="24"/>
  <c r="AA148" i="24" s="1"/>
  <c r="Z149" i="24"/>
  <c r="Z150" i="24"/>
  <c r="Z151" i="24"/>
  <c r="Z152" i="24"/>
  <c r="Z153" i="24"/>
  <c r="Z154" i="24"/>
  <c r="AA154" i="24" s="1"/>
  <c r="Z155" i="24"/>
  <c r="Z156" i="24"/>
  <c r="Z157" i="24"/>
  <c r="Z158" i="24"/>
  <c r="Z159" i="24"/>
  <c r="Z160" i="24"/>
  <c r="AA160" i="24" s="1"/>
  <c r="Z161" i="24"/>
  <c r="Z162" i="24"/>
  <c r="Z163" i="24"/>
  <c r="Z164" i="24"/>
  <c r="Z165" i="24"/>
  <c r="Z166" i="24"/>
  <c r="AA166" i="24" s="1"/>
  <c r="Z167" i="24"/>
  <c r="Z168" i="24"/>
  <c r="Z169" i="24"/>
  <c r="Z170" i="24"/>
  <c r="Z171" i="24"/>
  <c r="Z172" i="24"/>
  <c r="AA172" i="24" s="1"/>
  <c r="Z173" i="24"/>
  <c r="Z174" i="24"/>
  <c r="Z175" i="24"/>
  <c r="Z176" i="24"/>
  <c r="Z177" i="24"/>
  <c r="Z178" i="24"/>
  <c r="AA178" i="24" s="1"/>
  <c r="Z179" i="24"/>
  <c r="Z180" i="24"/>
  <c r="Z181" i="24"/>
  <c r="Z182" i="24"/>
  <c r="Z183" i="24"/>
  <c r="Z184" i="24"/>
  <c r="AA184" i="24" s="1"/>
  <c r="Z185" i="24"/>
  <c r="Z186" i="24"/>
  <c r="Z187" i="24"/>
  <c r="Z188" i="24"/>
  <c r="Z189" i="24"/>
  <c r="Z190" i="24"/>
  <c r="AA190" i="24" s="1"/>
  <c r="Z191" i="24"/>
  <c r="Z192" i="24"/>
  <c r="Z193" i="24"/>
  <c r="Z194" i="24"/>
  <c r="Z195" i="24"/>
  <c r="Z196" i="24"/>
  <c r="AA196" i="24" s="1"/>
  <c r="Z197" i="24"/>
  <c r="Z198" i="24"/>
  <c r="Z199" i="24"/>
  <c r="Z200" i="24"/>
  <c r="Z201" i="24"/>
  <c r="Z202" i="24"/>
  <c r="AA202" i="24" s="1"/>
  <c r="Z203" i="24"/>
  <c r="Z204" i="24"/>
  <c r="Z205" i="24"/>
  <c r="Z206" i="24"/>
  <c r="Z207" i="24"/>
  <c r="Z208" i="24"/>
  <c r="AA208" i="24" s="1"/>
  <c r="Z209" i="24"/>
  <c r="Z210" i="24"/>
  <c r="Z211" i="24"/>
  <c r="Z212" i="24"/>
  <c r="Z213" i="24"/>
  <c r="Z214" i="24"/>
  <c r="AA214" i="24" s="1"/>
  <c r="Z215" i="24"/>
  <c r="Z216" i="24"/>
  <c r="Z217" i="24"/>
  <c r="Z218" i="24"/>
  <c r="Z219" i="24"/>
  <c r="Z220" i="24"/>
  <c r="AA220" i="24" s="1"/>
  <c r="Z221" i="24"/>
  <c r="Z222" i="24"/>
  <c r="Z223" i="24"/>
  <c r="Z224" i="24"/>
  <c r="Z225" i="24"/>
  <c r="Z226" i="24"/>
  <c r="AA226" i="24" s="1"/>
  <c r="Z227" i="24"/>
  <c r="Z228" i="24"/>
  <c r="Z229" i="24"/>
  <c r="Z230" i="24"/>
  <c r="Z231" i="24"/>
  <c r="Z232" i="24"/>
  <c r="AA232" i="24" s="1"/>
  <c r="Z233" i="24"/>
  <c r="Z234" i="24"/>
  <c r="Z235" i="24"/>
  <c r="Z236" i="24"/>
  <c r="Z237" i="24"/>
  <c r="Z238" i="24"/>
  <c r="AA238" i="24" s="1"/>
  <c r="Z239" i="24"/>
  <c r="Z240" i="24"/>
  <c r="Z241" i="24"/>
  <c r="Z242" i="24"/>
  <c r="Z243" i="24"/>
  <c r="Z244" i="24"/>
  <c r="AA244" i="24" s="1"/>
  <c r="Z245" i="24"/>
  <c r="Z246" i="24"/>
  <c r="Z247" i="24"/>
  <c r="Z248" i="24"/>
  <c r="Z249" i="24"/>
  <c r="Z250" i="24"/>
  <c r="AA250" i="24" s="1"/>
  <c r="Z251" i="24"/>
  <c r="Z252" i="24"/>
  <c r="Z253" i="24"/>
  <c r="Z254" i="24"/>
  <c r="Z255" i="24"/>
  <c r="Z256" i="24"/>
  <c r="AA256" i="24" s="1"/>
  <c r="Z257" i="24"/>
  <c r="Z258" i="24"/>
  <c r="Z259" i="24"/>
  <c r="Z260" i="24"/>
  <c r="Z261" i="24"/>
  <c r="Z262" i="24"/>
  <c r="AA262" i="24" s="1"/>
  <c r="Z263" i="24"/>
  <c r="Z264" i="24"/>
  <c r="Z265" i="24"/>
  <c r="Z266" i="24"/>
  <c r="Z267" i="24"/>
  <c r="Z268" i="24"/>
  <c r="AA268" i="24" s="1"/>
  <c r="Z269" i="24"/>
  <c r="Z270" i="24"/>
  <c r="Z271" i="24"/>
  <c r="Z272" i="24"/>
  <c r="Z273" i="24"/>
  <c r="Z274" i="24"/>
  <c r="AA274" i="24" s="1"/>
  <c r="Z275" i="24"/>
  <c r="Z276" i="24"/>
  <c r="Z277" i="24"/>
  <c r="Z278" i="24"/>
  <c r="Z279" i="24"/>
  <c r="Z280" i="24"/>
  <c r="AA280" i="24" s="1"/>
  <c r="Z281" i="24"/>
  <c r="Z282" i="24"/>
  <c r="Z283" i="24"/>
  <c r="Z284" i="24"/>
  <c r="Z285" i="24"/>
  <c r="Z286" i="24"/>
  <c r="AA286" i="24" s="1"/>
  <c r="Z287" i="24"/>
  <c r="Z288" i="24"/>
  <c r="Z289" i="24"/>
  <c r="Z290" i="24"/>
  <c r="Z291" i="24"/>
  <c r="Z292" i="24"/>
  <c r="AA292" i="24" s="1"/>
  <c r="Z293" i="24"/>
  <c r="Z294" i="24"/>
  <c r="Z295" i="24"/>
  <c r="Z296" i="24"/>
  <c r="Z297" i="24"/>
  <c r="Z298" i="24"/>
  <c r="AA298" i="24" s="1"/>
  <c r="Z299" i="24"/>
  <c r="Z300" i="24"/>
  <c r="Z301" i="24"/>
  <c r="Z302" i="24"/>
  <c r="Z303" i="24"/>
  <c r="Z304" i="24"/>
  <c r="AA304" i="24" s="1"/>
  <c r="Z305" i="24"/>
  <c r="Z306" i="24"/>
  <c r="Z307" i="24"/>
  <c r="Z308" i="24"/>
  <c r="Z309" i="24"/>
  <c r="Z310" i="24"/>
  <c r="AA310" i="24" s="1"/>
  <c r="Z311" i="24"/>
  <c r="Z312" i="24"/>
  <c r="Z313" i="24"/>
  <c r="Z314" i="24"/>
  <c r="Z315" i="24"/>
  <c r="Z316" i="24"/>
  <c r="AA316" i="24" s="1"/>
  <c r="Z317" i="24"/>
  <c r="Z318" i="24"/>
  <c r="Z319" i="24"/>
  <c r="Z320" i="24"/>
  <c r="Z321" i="24"/>
  <c r="Z322" i="24"/>
  <c r="AA322" i="24" s="1"/>
  <c r="Z323" i="24"/>
  <c r="Z324" i="24"/>
  <c r="Z325" i="24"/>
  <c r="Z326" i="24"/>
  <c r="Z327" i="24"/>
  <c r="Z328" i="24"/>
  <c r="AA328" i="24" s="1"/>
  <c r="Z329" i="24"/>
  <c r="Z330" i="24"/>
  <c r="Z331" i="24"/>
  <c r="Z332" i="24"/>
  <c r="Z333" i="24"/>
  <c r="Z334" i="24"/>
  <c r="AA334" i="24" s="1"/>
  <c r="Z335" i="24"/>
  <c r="Z336" i="24"/>
  <c r="Z337" i="24"/>
  <c r="Z338" i="24"/>
  <c r="Z339" i="24"/>
  <c r="Z340" i="24"/>
  <c r="AA340" i="24" s="1"/>
  <c r="Z341" i="24"/>
  <c r="Z342" i="24"/>
  <c r="Z343" i="24"/>
  <c r="Z344" i="24"/>
  <c r="Z345" i="24"/>
  <c r="Z346" i="24"/>
  <c r="AA346" i="24" s="1"/>
  <c r="Z347" i="24"/>
  <c r="Z348" i="24"/>
  <c r="Z349" i="24"/>
  <c r="Z350" i="24"/>
  <c r="Z351" i="24"/>
  <c r="Z352" i="24"/>
  <c r="AA352" i="24" s="1"/>
  <c r="Z353" i="24"/>
  <c r="Z354" i="24"/>
  <c r="Z355" i="24"/>
  <c r="Z356" i="24"/>
  <c r="Z357" i="24"/>
  <c r="Z358" i="24"/>
  <c r="AA358" i="24" s="1"/>
  <c r="Z359" i="24"/>
  <c r="Z360" i="24"/>
  <c r="Z361" i="24"/>
  <c r="Z362" i="24"/>
  <c r="Z363" i="24"/>
  <c r="Z364" i="24"/>
  <c r="AA364" i="24" s="1"/>
  <c r="Z365" i="24"/>
  <c r="Z366" i="24"/>
  <c r="Z367" i="24"/>
  <c r="Z368" i="24"/>
  <c r="Z369" i="24"/>
  <c r="Z370" i="24"/>
  <c r="AA370" i="24" s="1"/>
  <c r="Z371" i="24"/>
  <c r="Z372" i="24"/>
  <c r="Z373" i="24"/>
  <c r="Z374" i="24"/>
  <c r="Z375" i="24"/>
  <c r="Z376" i="24"/>
  <c r="AA376" i="24" s="1"/>
  <c r="Z377" i="24"/>
  <c r="Z378" i="24"/>
  <c r="Z379" i="24"/>
  <c r="Z380" i="24"/>
  <c r="Z381" i="24"/>
  <c r="Z382" i="24"/>
  <c r="AA382" i="24" s="1"/>
  <c r="Z383" i="24"/>
  <c r="Z384" i="24"/>
  <c r="Z385" i="24"/>
  <c r="Z386" i="24"/>
  <c r="Z387" i="24"/>
  <c r="Z388" i="24"/>
  <c r="AA388" i="24" s="1"/>
  <c r="Z389" i="24"/>
  <c r="Z390" i="24"/>
  <c r="Z391" i="24"/>
  <c r="Z392" i="24"/>
  <c r="Z393" i="24"/>
  <c r="Z394" i="24"/>
  <c r="AA394" i="24" s="1"/>
  <c r="Z395" i="24"/>
  <c r="Z396" i="24"/>
  <c r="Z397" i="24"/>
  <c r="Z398" i="24"/>
  <c r="Z399" i="24"/>
  <c r="Z400" i="24"/>
  <c r="AA400" i="24" s="1"/>
  <c r="Z401" i="24"/>
  <c r="Z402" i="24"/>
  <c r="Z403" i="24"/>
  <c r="Z404" i="24"/>
  <c r="Z405" i="24"/>
  <c r="Z406" i="24"/>
  <c r="AA406" i="24" s="1"/>
  <c r="Z407" i="24"/>
  <c r="Z408" i="24"/>
  <c r="Z409" i="24"/>
  <c r="Z410" i="24"/>
  <c r="Z411" i="24"/>
  <c r="Z412" i="24"/>
  <c r="AA412" i="24" s="1"/>
  <c r="Z413" i="24"/>
  <c r="Z414" i="24"/>
  <c r="Z415" i="24"/>
  <c r="Z416" i="24"/>
  <c r="Z417" i="24"/>
  <c r="Z418" i="24"/>
  <c r="AA418" i="24" s="1"/>
  <c r="Z419" i="24"/>
  <c r="Z420" i="24"/>
  <c r="Z421" i="24"/>
  <c r="Z422" i="24"/>
  <c r="Z423" i="24"/>
  <c r="Z424" i="24"/>
  <c r="AA424" i="24" s="1"/>
  <c r="Z425" i="24"/>
  <c r="Z426" i="24"/>
  <c r="Z427" i="24"/>
  <c r="Z428" i="24"/>
  <c r="Z429" i="24"/>
  <c r="Z430" i="24"/>
  <c r="AA430" i="24" s="1"/>
  <c r="Z431" i="24"/>
  <c r="Z432" i="24"/>
  <c r="Z433" i="24"/>
  <c r="Z434" i="24"/>
  <c r="Z435" i="24"/>
  <c r="Z436" i="24"/>
  <c r="AA436" i="24" s="1"/>
  <c r="Z437" i="24"/>
  <c r="Z438" i="24"/>
  <c r="Z439" i="24"/>
  <c r="Z440" i="24"/>
  <c r="Z441" i="24"/>
  <c r="Z442" i="24"/>
  <c r="AA442" i="24" s="1"/>
  <c r="Z443" i="24"/>
  <c r="Z444" i="24"/>
  <c r="Z445" i="24"/>
  <c r="Z446" i="24"/>
  <c r="Z447" i="24"/>
  <c r="Z448" i="24"/>
  <c r="AA448" i="24" s="1"/>
  <c r="Z449" i="24"/>
  <c r="Z450" i="24"/>
  <c r="Z451" i="24"/>
  <c r="Z452" i="24"/>
  <c r="Z453" i="24"/>
  <c r="Z454" i="24"/>
  <c r="AA454" i="24" s="1"/>
  <c r="Z455" i="24"/>
  <c r="Z456" i="24"/>
  <c r="Z457" i="24"/>
  <c r="Z458" i="24"/>
  <c r="Z459" i="24"/>
  <c r="Z460" i="24"/>
  <c r="AA460" i="24" s="1"/>
  <c r="Z461" i="24"/>
  <c r="Z462" i="24"/>
  <c r="Z463" i="24"/>
  <c r="Z464" i="24"/>
  <c r="Z465" i="24"/>
  <c r="Z466" i="24"/>
  <c r="AA466" i="24" s="1"/>
  <c r="Z467" i="24"/>
  <c r="Z468" i="24"/>
  <c r="Z469" i="24"/>
  <c r="Z470" i="24"/>
  <c r="Z471" i="24"/>
  <c r="Z472" i="24"/>
  <c r="AA472" i="24" s="1"/>
  <c r="Z473" i="24"/>
  <c r="Z474" i="24"/>
  <c r="Z475" i="24"/>
  <c r="Z476" i="24"/>
  <c r="Z477" i="24"/>
  <c r="Z478" i="24"/>
  <c r="AA478" i="24" s="1"/>
  <c r="Z479" i="24"/>
  <c r="Z480" i="24"/>
  <c r="Z481" i="24"/>
  <c r="Z482" i="24"/>
  <c r="Z483" i="24"/>
  <c r="Z484" i="24"/>
  <c r="AA484" i="24" s="1"/>
  <c r="Z485" i="24"/>
  <c r="Z486" i="24"/>
  <c r="Z487" i="24"/>
  <c r="Z488" i="24"/>
  <c r="Z489" i="24"/>
  <c r="Z490" i="24"/>
  <c r="AA490" i="24" s="1"/>
  <c r="Z491" i="24"/>
  <c r="Z492" i="24"/>
  <c r="Z493" i="24"/>
  <c r="Z494" i="24"/>
  <c r="Z495" i="24"/>
  <c r="Z496" i="24"/>
  <c r="AA496" i="24" s="1"/>
  <c r="Z497" i="24"/>
  <c r="Z498" i="24"/>
  <c r="Z499" i="24"/>
  <c r="Z500" i="24"/>
  <c r="Z501" i="24"/>
  <c r="Z502" i="24"/>
  <c r="AA502" i="24" s="1"/>
  <c r="Z503" i="24"/>
  <c r="Z504" i="24"/>
  <c r="Z505" i="24"/>
  <c r="Z506" i="24"/>
  <c r="Z507" i="24"/>
  <c r="Z508" i="24"/>
  <c r="AA508" i="24" s="1"/>
  <c r="Z509" i="24"/>
  <c r="Z510" i="24"/>
  <c r="Z511" i="24"/>
  <c r="Z512" i="24"/>
  <c r="Z513" i="24"/>
  <c r="Z514" i="24"/>
  <c r="AA514" i="24" s="1"/>
  <c r="Z515" i="24"/>
  <c r="Z516" i="24"/>
  <c r="Z517" i="24"/>
  <c r="Z518" i="24"/>
  <c r="Z519" i="24"/>
  <c r="Z520" i="24"/>
  <c r="AA520" i="24" s="1"/>
  <c r="Z521" i="24"/>
  <c r="Z522" i="24"/>
  <c r="Z523" i="24"/>
  <c r="Z524" i="24"/>
  <c r="Z525" i="24"/>
  <c r="Z526" i="24"/>
  <c r="AA526" i="24" s="1"/>
  <c r="Z527" i="24"/>
  <c r="Z528" i="24"/>
  <c r="Z529" i="24"/>
  <c r="Z530" i="24"/>
  <c r="Z531" i="24"/>
  <c r="Z532" i="24"/>
  <c r="AA532" i="24" s="1"/>
  <c r="Z533" i="24"/>
  <c r="Z534" i="24"/>
  <c r="Z535" i="24"/>
  <c r="Z536" i="24"/>
  <c r="Z537" i="24"/>
  <c r="Z538" i="24"/>
  <c r="AA538" i="24" s="1"/>
  <c r="Z539" i="24"/>
  <c r="Z540" i="24"/>
  <c r="Z541" i="24"/>
  <c r="Z542" i="24"/>
  <c r="Z543" i="24"/>
  <c r="Z544" i="24"/>
  <c r="AA544" i="24" s="1"/>
  <c r="Z545" i="24"/>
  <c r="Z546" i="24"/>
  <c r="Z547" i="24"/>
  <c r="Z548" i="24"/>
  <c r="Z549" i="24"/>
  <c r="Z550" i="24"/>
  <c r="AA550" i="24" s="1"/>
  <c r="Z551" i="24"/>
  <c r="Z552" i="24"/>
  <c r="Z553" i="24"/>
  <c r="Z554" i="24"/>
  <c r="Z555" i="24"/>
  <c r="Z556" i="24"/>
  <c r="AA556" i="24" s="1"/>
  <c r="Z557" i="24"/>
  <c r="Z558" i="24"/>
  <c r="Z559" i="24"/>
  <c r="Z560" i="24"/>
  <c r="Z561" i="24"/>
  <c r="Z562" i="24"/>
  <c r="AA562" i="24" s="1"/>
  <c r="Z563" i="24"/>
  <c r="Z564" i="24"/>
  <c r="Z565" i="24"/>
  <c r="Z566" i="24"/>
  <c r="Z567" i="24"/>
  <c r="Z568" i="24"/>
  <c r="AA568" i="24" s="1"/>
  <c r="Z569" i="24"/>
  <c r="Z570" i="24"/>
  <c r="Z571" i="24"/>
  <c r="Z572" i="24"/>
  <c r="Z573" i="24"/>
  <c r="Z574" i="24"/>
  <c r="AA574" i="24" s="1"/>
  <c r="Z575" i="24"/>
  <c r="Z576" i="24"/>
  <c r="Z577" i="24"/>
  <c r="Z578" i="24"/>
  <c r="Z579" i="24"/>
  <c r="Z580" i="24"/>
  <c r="AA580" i="24" s="1"/>
  <c r="Z581" i="24"/>
  <c r="Z582" i="24"/>
  <c r="Z583" i="24"/>
  <c r="Z584" i="24"/>
  <c r="Z585" i="24"/>
  <c r="Z586" i="24"/>
  <c r="AA586" i="24" s="1"/>
  <c r="Z587" i="24"/>
  <c r="Z588" i="24"/>
  <c r="Z589" i="24"/>
  <c r="Z590" i="24"/>
  <c r="Z591" i="24"/>
  <c r="Z592" i="24"/>
  <c r="AA592" i="24" s="1"/>
  <c r="Z593" i="24"/>
  <c r="Z594" i="24"/>
  <c r="Z595" i="24"/>
  <c r="Z596" i="24"/>
  <c r="Z597" i="24"/>
  <c r="Z598" i="24"/>
  <c r="AA598" i="24" s="1"/>
  <c r="Z599" i="24"/>
  <c r="Z600" i="24"/>
  <c r="Z601" i="24"/>
  <c r="Z602" i="24"/>
  <c r="Z603" i="24"/>
  <c r="Z604" i="24"/>
  <c r="AA604" i="24" s="1"/>
  <c r="Z605" i="24"/>
  <c r="Z606" i="24"/>
  <c r="Z607" i="24"/>
  <c r="Z608" i="24"/>
  <c r="Z609" i="24"/>
  <c r="Z610" i="24"/>
  <c r="AA610" i="24" s="1"/>
  <c r="Z611" i="24"/>
  <c r="Z612" i="24"/>
  <c r="Z613" i="24"/>
  <c r="Z614" i="24"/>
  <c r="Z615" i="24"/>
  <c r="Z616" i="24"/>
  <c r="AA616" i="24" s="1"/>
  <c r="Z617" i="24"/>
  <c r="Z618" i="24"/>
  <c r="Z619" i="24"/>
  <c r="Z620" i="24"/>
  <c r="Z621" i="24"/>
  <c r="Z622" i="24"/>
  <c r="AA622" i="24" s="1"/>
  <c r="Z623" i="24"/>
  <c r="Z624" i="24"/>
  <c r="Z625" i="24"/>
  <c r="Z626" i="24"/>
  <c r="Z627" i="24"/>
  <c r="Z628" i="24"/>
  <c r="AA628" i="24" s="1"/>
  <c r="Z629" i="24"/>
  <c r="Z630" i="24"/>
  <c r="Z631" i="24"/>
  <c r="Z632" i="24"/>
  <c r="Z633" i="24"/>
  <c r="Z634" i="24"/>
  <c r="AA634" i="24" s="1"/>
  <c r="Z635" i="24"/>
  <c r="Z636" i="24"/>
  <c r="Z637" i="24"/>
  <c r="Z638" i="24"/>
  <c r="Z639" i="24"/>
  <c r="Z640" i="24"/>
  <c r="AA640" i="24" s="1"/>
  <c r="Z641" i="24"/>
  <c r="Z642" i="24"/>
  <c r="Z643" i="24"/>
  <c r="Z644" i="24"/>
  <c r="Z645" i="24"/>
  <c r="Z646" i="24"/>
  <c r="AA646" i="24" s="1"/>
  <c r="Z647" i="24"/>
  <c r="Z648" i="24"/>
  <c r="Z649" i="24"/>
  <c r="Z650" i="24"/>
  <c r="Z651" i="24"/>
  <c r="Z652" i="24"/>
  <c r="AA652" i="24" s="1"/>
  <c r="Z653" i="24"/>
  <c r="Z654" i="24"/>
  <c r="Z655" i="24"/>
  <c r="Z656" i="24"/>
  <c r="Z657" i="24"/>
  <c r="Z658" i="24"/>
  <c r="AA658" i="24" s="1"/>
  <c r="Z659" i="24"/>
  <c r="Z660" i="24"/>
  <c r="Z661" i="24"/>
  <c r="Z662" i="24"/>
  <c r="Z663" i="24"/>
  <c r="Z664" i="24"/>
  <c r="AA664" i="24" s="1"/>
  <c r="Z665" i="24"/>
  <c r="Z666" i="24"/>
  <c r="Z667" i="24"/>
  <c r="Z668" i="24"/>
  <c r="Z669" i="24"/>
  <c r="Z670" i="24"/>
  <c r="AA670" i="24" s="1"/>
  <c r="Z671" i="24"/>
  <c r="Z672" i="24"/>
  <c r="Z673" i="24"/>
  <c r="Z674" i="24"/>
  <c r="Z675" i="24"/>
  <c r="Z676" i="24"/>
  <c r="AA676" i="24" s="1"/>
  <c r="Z677" i="24"/>
  <c r="Z678" i="24"/>
  <c r="Z679" i="24"/>
  <c r="Z680" i="24"/>
  <c r="Z681" i="24"/>
  <c r="Z682" i="24"/>
  <c r="AA682" i="24" s="1"/>
  <c r="Z683" i="24"/>
  <c r="Z684" i="24"/>
  <c r="Z685" i="24"/>
  <c r="Z686" i="24"/>
  <c r="Z687" i="24"/>
  <c r="Z688" i="24"/>
  <c r="AA688" i="24" s="1"/>
  <c r="Z689" i="24"/>
  <c r="Z690" i="24"/>
  <c r="Z691" i="24"/>
  <c r="Z692" i="24"/>
  <c r="Z693" i="24"/>
  <c r="Z694" i="24"/>
  <c r="AA694" i="24" s="1"/>
  <c r="Z695" i="24"/>
  <c r="Z696" i="24"/>
  <c r="Z697" i="24"/>
  <c r="Z698" i="24"/>
  <c r="Z699" i="24"/>
  <c r="Z700" i="24"/>
  <c r="AA700" i="24" s="1"/>
  <c r="Z701" i="24"/>
  <c r="Z702" i="24"/>
  <c r="Z703" i="24"/>
  <c r="Z704" i="24"/>
  <c r="Z705" i="24"/>
  <c r="Z706" i="24"/>
  <c r="AA706" i="24" s="1"/>
  <c r="Z707" i="24"/>
  <c r="Z708" i="24"/>
  <c r="Z709" i="24"/>
  <c r="Z710" i="24"/>
  <c r="Z711" i="24"/>
  <c r="Z712" i="24"/>
  <c r="AA712" i="24" s="1"/>
  <c r="Z713" i="24"/>
  <c r="Z714" i="24"/>
  <c r="Z715" i="24"/>
  <c r="Z716" i="24"/>
  <c r="Z717" i="24"/>
  <c r="Z718" i="24"/>
  <c r="AA718" i="24" s="1"/>
  <c r="Z719" i="24"/>
  <c r="Z720" i="24"/>
  <c r="Z721" i="24"/>
  <c r="Z722" i="24"/>
  <c r="Z723" i="24"/>
  <c r="Z724" i="24"/>
  <c r="AA724" i="24" s="1"/>
  <c r="Z725" i="24"/>
  <c r="Z726" i="24"/>
  <c r="Z727" i="24"/>
  <c r="Z728" i="24"/>
  <c r="Z729" i="24"/>
  <c r="Z730" i="24"/>
  <c r="AA730" i="24" s="1"/>
  <c r="Z731" i="24"/>
  <c r="Z732" i="24"/>
  <c r="Z733" i="24"/>
  <c r="Z734" i="24"/>
  <c r="Z735" i="24"/>
  <c r="Z736" i="24"/>
  <c r="AA736" i="24" s="1"/>
  <c r="Z737" i="24"/>
  <c r="Z738" i="24"/>
  <c r="Z739" i="24"/>
  <c r="Z740" i="24"/>
  <c r="Z741" i="24"/>
  <c r="Z742" i="24"/>
  <c r="AA742" i="24" s="1"/>
  <c r="Z743" i="24"/>
  <c r="Z744" i="24"/>
  <c r="Z745" i="24"/>
  <c r="Z746" i="24"/>
  <c r="Z747" i="24"/>
  <c r="Z748" i="24"/>
  <c r="AA748" i="24" s="1"/>
  <c r="Z749" i="24"/>
  <c r="Z750" i="24"/>
  <c r="Z751" i="24"/>
  <c r="Z752" i="24"/>
  <c r="Z753" i="24"/>
  <c r="Z754" i="24"/>
  <c r="AA754" i="24" s="1"/>
  <c r="Z755" i="24"/>
  <c r="Z756" i="24"/>
  <c r="Z757" i="24"/>
  <c r="Z758" i="24"/>
  <c r="Z759" i="24"/>
  <c r="Z760" i="24"/>
  <c r="AA760" i="24" s="1"/>
  <c r="Z761" i="24"/>
  <c r="Z762" i="24"/>
  <c r="Z763" i="24"/>
  <c r="Z764" i="24"/>
  <c r="Z765" i="24"/>
  <c r="Z766" i="24"/>
  <c r="AA766" i="24" s="1"/>
  <c r="Z767" i="24"/>
  <c r="Z768" i="24"/>
  <c r="Z769" i="24"/>
  <c r="Z770" i="24"/>
  <c r="Z771" i="24"/>
  <c r="Z772" i="24"/>
  <c r="AA772" i="24" s="1"/>
  <c r="Z773" i="24"/>
  <c r="Z774" i="24"/>
  <c r="Z775" i="24"/>
  <c r="Z776" i="24"/>
  <c r="Z777" i="24"/>
  <c r="Z778" i="24"/>
  <c r="AA778" i="24" s="1"/>
  <c r="Z779" i="24"/>
  <c r="Z780" i="24"/>
  <c r="Z781" i="24"/>
  <c r="Z782" i="24"/>
  <c r="Z783" i="24"/>
  <c r="Z784" i="24"/>
  <c r="AA784" i="24" s="1"/>
  <c r="Z785" i="24"/>
  <c r="Z786" i="24"/>
  <c r="Z787" i="24"/>
  <c r="Z788" i="24"/>
  <c r="Z789" i="24"/>
  <c r="Z790" i="24"/>
  <c r="AA790" i="24" s="1"/>
  <c r="Z791" i="24"/>
  <c r="Z792" i="24"/>
  <c r="Z793" i="24"/>
  <c r="Z794" i="24"/>
  <c r="Z795" i="24"/>
  <c r="Z796" i="24"/>
  <c r="AA796" i="24" s="1"/>
  <c r="Z797" i="24"/>
  <c r="Z798" i="24"/>
  <c r="Z799" i="24"/>
  <c r="Z800" i="24"/>
  <c r="Z801" i="24"/>
  <c r="Z802" i="24"/>
  <c r="AA802" i="24" s="1"/>
  <c r="Z803" i="24"/>
  <c r="Z804" i="24"/>
  <c r="Z805" i="24"/>
  <c r="Z806" i="24"/>
  <c r="Z807" i="24"/>
  <c r="Z808" i="24"/>
  <c r="AA808" i="24" s="1"/>
  <c r="Z809" i="24"/>
  <c r="Z810" i="24"/>
  <c r="Z811" i="24"/>
  <c r="Z812" i="24"/>
  <c r="Z813" i="24"/>
  <c r="Z814" i="24"/>
  <c r="AA814" i="24" s="1"/>
  <c r="Z815" i="24"/>
  <c r="Z816" i="24"/>
  <c r="Z817" i="24"/>
  <c r="Z818" i="24"/>
  <c r="Z819" i="24"/>
  <c r="Z820" i="24"/>
  <c r="AA820" i="24" s="1"/>
  <c r="Z821" i="24"/>
  <c r="Z822" i="24"/>
  <c r="Z823" i="24"/>
  <c r="Z824" i="24"/>
  <c r="Z825" i="24"/>
  <c r="Z826" i="24"/>
  <c r="AA826" i="24" s="1"/>
  <c r="Z827" i="24"/>
  <c r="Z828" i="24"/>
  <c r="Z829" i="24"/>
  <c r="Z830" i="24"/>
  <c r="Z831" i="24"/>
  <c r="Z832" i="24"/>
  <c r="AA832" i="24" s="1"/>
  <c r="Z833" i="24"/>
  <c r="Z834" i="24"/>
  <c r="Z835" i="24"/>
  <c r="Z836" i="24"/>
  <c r="Z837" i="24"/>
  <c r="Z838" i="24"/>
  <c r="AA838" i="24" s="1"/>
  <c r="Z839" i="24"/>
  <c r="Z840" i="24"/>
  <c r="Z841" i="24"/>
  <c r="Z842" i="24"/>
  <c r="Z843" i="24"/>
  <c r="Z844" i="24"/>
  <c r="AA844" i="24" s="1"/>
  <c r="Z845" i="24"/>
  <c r="Z846" i="24"/>
  <c r="Z847" i="24"/>
  <c r="Z848" i="24"/>
  <c r="Z849" i="24"/>
  <c r="Z850" i="24"/>
  <c r="AA850" i="24" s="1"/>
  <c r="Z851" i="24"/>
  <c r="Z852" i="24"/>
  <c r="Z853" i="24"/>
  <c r="Z854" i="24"/>
  <c r="Z855" i="24"/>
  <c r="Z856" i="24"/>
  <c r="AA856" i="24" s="1"/>
  <c r="Z857" i="24"/>
  <c r="Z858" i="24"/>
  <c r="Z859" i="24"/>
  <c r="Z860" i="24"/>
  <c r="Z861" i="24"/>
  <c r="Z862" i="24"/>
  <c r="AA862" i="24" s="1"/>
  <c r="Z863" i="24"/>
  <c r="Z864" i="24"/>
  <c r="Z865" i="24"/>
  <c r="Z866" i="24"/>
  <c r="Z867" i="24"/>
  <c r="Z868" i="24"/>
  <c r="AA868" i="24" s="1"/>
  <c r="Z869" i="24"/>
  <c r="Z870" i="24"/>
  <c r="Z871" i="24"/>
  <c r="Z872" i="24"/>
  <c r="Z873" i="24"/>
  <c r="Z874" i="24"/>
  <c r="AA874" i="24" s="1"/>
  <c r="Z875" i="24"/>
  <c r="Z876" i="24"/>
  <c r="Z877" i="24"/>
  <c r="Z878" i="24"/>
  <c r="Z879" i="24"/>
  <c r="Z880" i="24"/>
  <c r="AA880" i="24" s="1"/>
  <c r="Z881" i="24"/>
  <c r="Z882" i="24"/>
  <c r="Z883" i="24"/>
  <c r="Z884" i="24"/>
  <c r="Z885" i="24"/>
  <c r="Z886" i="24"/>
  <c r="AA886" i="24" s="1"/>
  <c r="Z887" i="24"/>
  <c r="Z888" i="24"/>
  <c r="Z889" i="24"/>
  <c r="Z890" i="24"/>
  <c r="Z891" i="24"/>
  <c r="Z892" i="24"/>
  <c r="AA892" i="24" s="1"/>
  <c r="Z893" i="24"/>
  <c r="Z894" i="24"/>
  <c r="Z895" i="24"/>
  <c r="Z896" i="24"/>
  <c r="Z897" i="24"/>
  <c r="Z898" i="24"/>
  <c r="AA898" i="24" s="1"/>
  <c r="Z899" i="24"/>
  <c r="Z900" i="24"/>
  <c r="Z901" i="24"/>
  <c r="Z902" i="24"/>
  <c r="Z903" i="24"/>
  <c r="Z904" i="24"/>
  <c r="AA904" i="24" s="1"/>
  <c r="Z905" i="24"/>
  <c r="Z906" i="24"/>
  <c r="Z907" i="24"/>
  <c r="Z908" i="24"/>
  <c r="Z909" i="24"/>
  <c r="Z910" i="24"/>
  <c r="AA910" i="24" s="1"/>
  <c r="Z911" i="24"/>
  <c r="Z912" i="24"/>
  <c r="Z913" i="24"/>
  <c r="Z914" i="24"/>
  <c r="Z915" i="24"/>
  <c r="Z916" i="24"/>
  <c r="AA916" i="24" s="1"/>
  <c r="Z917" i="24"/>
  <c r="Z918" i="24"/>
  <c r="Z919" i="24"/>
  <c r="Z920" i="24"/>
  <c r="Z921" i="24"/>
  <c r="S5" i="22" l="1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4" i="22"/>
</calcChain>
</file>

<file path=xl/sharedStrings.xml><?xml version="1.0" encoding="utf-8"?>
<sst xmlns="http://schemas.openxmlformats.org/spreadsheetml/2006/main" count="1083" uniqueCount="109">
  <si>
    <t>Recognition %</t>
  </si>
  <si>
    <t>TRIGGER_FR</t>
  </si>
  <si>
    <t>noise db level</t>
  </si>
  <si>
    <t>command</t>
  </si>
  <si>
    <t>signal db</t>
  </si>
  <si>
    <t>log file name</t>
  </si>
  <si>
    <t>list file name</t>
  </si>
  <si>
    <t>trigger to ASR delay [s]</t>
  </si>
  <si>
    <t>noise file name</t>
  </si>
  <si>
    <t>Number of waves</t>
  </si>
  <si>
    <t>Recognized trigger</t>
  </si>
  <si>
    <t xml:space="preserve"> Timeout</t>
  </si>
  <si>
    <t>average response time</t>
  </si>
  <si>
    <t>maximum deviation from response time</t>
  </si>
  <si>
    <t>App name</t>
  </si>
  <si>
    <t>Number of trigger waves</t>
  </si>
  <si>
    <t>Amazon Processing</t>
  </si>
  <si>
    <t>Trigger</t>
  </si>
  <si>
    <t>Trigger Ignored</t>
  </si>
  <si>
    <t>Waiting For Trigger</t>
  </si>
  <si>
    <t>Number of ASR waves</t>
  </si>
  <si>
    <t>Amazon Speaking</t>
  </si>
  <si>
    <t>VOX Closed</t>
  </si>
  <si>
    <t>VOX Closed Timeout</t>
  </si>
  <si>
    <t>Amazon Listening</t>
  </si>
  <si>
    <t>what distance have I done</t>
  </si>
  <si>
    <t>resume</t>
  </si>
  <si>
    <t>pause</t>
  </si>
  <si>
    <t>next song</t>
  </si>
  <si>
    <t>volume up</t>
  </si>
  <si>
    <t>volume down</t>
  </si>
  <si>
    <t>Reset</t>
  </si>
  <si>
    <t>no recognition</t>
  </si>
  <si>
    <t>recognition</t>
  </si>
  <si>
    <t>Resume</t>
  </si>
  <si>
    <t>Pause</t>
  </si>
  <si>
    <t xml:space="preserve"> Next Song</t>
  </si>
  <si>
    <t>Volume Up</t>
  </si>
  <si>
    <t>Volume Down</t>
  </si>
  <si>
    <t>because of trigger</t>
  </si>
  <si>
    <t>Undefined Value</t>
  </si>
  <si>
    <t>phrase</t>
  </si>
  <si>
    <t>Timout, Reset</t>
  </si>
  <si>
    <t>Timout</t>
  </si>
  <si>
    <t>Unrecognized</t>
  </si>
  <si>
    <t>No of waves</t>
  </si>
  <si>
    <t>ASR</t>
  </si>
  <si>
    <t xml:space="preserve"> Reset</t>
  </si>
  <si>
    <t xml:space="preserve">Substitution </t>
  </si>
  <si>
    <t>trigger phrase</t>
  </si>
  <si>
    <t>Avrg SNR</t>
  </si>
  <si>
    <t>car80</t>
  </si>
  <si>
    <t>office</t>
  </si>
  <si>
    <t>street</t>
  </si>
  <si>
    <t>cafeteria</t>
  </si>
  <si>
    <t>babble</t>
  </si>
  <si>
    <t>Crossroads</t>
  </si>
  <si>
    <t>wind_2ms</t>
  </si>
  <si>
    <t>wind_3ms</t>
  </si>
  <si>
    <t>wind_4ms</t>
  </si>
  <si>
    <t>wind_5ms</t>
  </si>
  <si>
    <t xml:space="preserve"> No Recognition</t>
  </si>
  <si>
    <t>Undefined values</t>
  </si>
  <si>
    <t xml:space="preserve"> Resets</t>
  </si>
  <si>
    <t>Average Response time</t>
  </si>
  <si>
    <t>Maximum deviation from response time</t>
  </si>
  <si>
    <t>wave name</t>
  </si>
  <si>
    <t xml:space="preserve">Recognized </t>
  </si>
  <si>
    <t>duration</t>
  </si>
  <si>
    <t>counter stopped at</t>
  </si>
  <si>
    <t>double recognition</t>
  </si>
  <si>
    <t xml:space="preserve">Installed on borad is V50.1.6
No AGC
Version includes Trigger &amp; ASR
Trigger Sensitivity = 4.5
Volume set just bellow clipping according to signal at 0dB
Test run with changing dB of signal without any noise file at all
419 files of Alexa with 4 sec delay between each file played </t>
  </si>
  <si>
    <t>Dynamic Range -Alexa - Trigger 
Dynamic Range - OK Google - Trigger 
Dynamic Range - OK Google - Trigger</t>
  </si>
  <si>
    <t>Delay Between Files</t>
  </si>
  <si>
    <t>Mic Gain</t>
  </si>
  <si>
    <t>Dynamic Range</t>
  </si>
  <si>
    <t>Recognition Rate</t>
  </si>
  <si>
    <t>Signal Gain (dB)</t>
  </si>
  <si>
    <t>Delay time in seconds:</t>
  </si>
  <si>
    <t>Simulator</t>
  </si>
  <si>
    <t>noise -20dB</t>
  </si>
  <si>
    <t>SBC</t>
  </si>
  <si>
    <t>noise 0dB</t>
  </si>
  <si>
    <t>aptX</t>
  </si>
  <si>
    <t>JayBird Release</t>
  </si>
  <si>
    <t>Normalized performance</t>
  </si>
  <si>
    <t>Resource usage</t>
  </si>
  <si>
    <t>Quiet</t>
  </si>
  <si>
    <t>12dB SNR</t>
  </si>
  <si>
    <t>0dB SNR</t>
  </si>
  <si>
    <t>Model size</t>
  </si>
  <si>
    <t>MIPS</t>
  </si>
  <si>
    <t>RAM</t>
  </si>
  <si>
    <t>CPU</t>
  </si>
  <si>
    <t>Recognition</t>
  </si>
  <si>
    <t>FA Rate</t>
  </si>
  <si>
    <t>FA per Day</t>
  </si>
  <si>
    <t>Car noise</t>
  </si>
  <si>
    <t>Babble</t>
  </si>
  <si>
    <t>Cafeteria</t>
  </si>
  <si>
    <t>Office</t>
  </si>
  <si>
    <t>recognition rate per hour</t>
  </si>
  <si>
    <t>LJ - 
Trigger</t>
  </si>
  <si>
    <t>MP - 
Trigger</t>
  </si>
  <si>
    <t>Trigger Recognition Rate</t>
  </si>
  <si>
    <t>Response Rate</t>
  </si>
  <si>
    <t># recognized</t>
  </si>
  <si>
    <t>latency</t>
  </si>
  <si>
    <t>Laitency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</si>
</sst>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0.0"/>
    <numFmt numFmtId="165" formatCode="#,##0_ ;\-#,##0\ "/>
    <numFmt numFmtId="166" formatCode="0.0%"/>
    <numFmt numFmtId="167" formatCode="hh:mm:ss.000"/>
  </numFmts>
  <fonts count="2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scheme val="minor"/>
    </font>
    <font>
      <sz val="11"/>
      <color rgb="FF9C65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4"/>
      <color theme="0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b/>
      <sz val="11"/>
      <color theme="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4"/>
      <name val="Arial"/>
      <family val="2"/>
      <scheme val="minor"/>
    </font>
    <font>
      <sz val="11"/>
      <color theme="0"/>
      <name val="Arial"/>
      <family val="2"/>
      <scheme val="minor"/>
    </font>
    <font>
      <b/>
      <sz val="12"/>
      <name val="Arial"/>
      <family val="2"/>
      <scheme val="minor"/>
    </font>
    <font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4E0F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2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2" borderId="0"/>
    <xf numFmtId="0" fontId="6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2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6" fillId="2" borderId="0"/>
    <xf numFmtId="9" fontId="6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24">
    <xf numFmtId="0" fontId="0" fillId="0" borderId="0" xfId="0" applyFill="1"/>
    <xf numFmtId="0" fontId="8" fillId="0" borderId="4" xfId="0" applyFont="1" applyFill="1" applyBorder="1" applyAlignment="1">
      <alignment vertical="center" wrapText="1"/>
    </xf>
    <xf numFmtId="0" fontId="8" fillId="0" borderId="4" xfId="0" applyFont="1" applyFill="1" applyBorder="1" applyAlignment="1">
      <alignment horizontal="center" vertical="center" wrapText="1"/>
    </xf>
    <xf numFmtId="9" fontId="10" fillId="0" borderId="13" xfId="1" applyNumberFormat="1" applyFont="1" applyBorder="1" applyAlignment="1">
      <alignment horizontal="center" vertical="center" wrapText="1" readingOrder="1"/>
    </xf>
    <xf numFmtId="0" fontId="6" fillId="0" borderId="0" xfId="31" applyFill="1" applyAlignment="1">
      <alignment horizontal="center" vertical="center"/>
    </xf>
    <xf numFmtId="0" fontId="0" fillId="0" borderId="0" xfId="31" applyFont="1" applyFill="1" applyAlignment="1">
      <alignment horizontal="center" vertical="center"/>
    </xf>
    <xf numFmtId="9" fontId="10" fillId="0" borderId="21" xfId="33" applyNumberFormat="1" applyFont="1" applyBorder="1" applyAlignment="1">
      <alignment horizontal="center" vertical="center" wrapText="1" readingOrder="1"/>
    </xf>
    <xf numFmtId="0" fontId="4" fillId="0" borderId="22" xfId="34" applyBorder="1" applyAlignment="1">
      <alignment horizontal="center" vertical="center"/>
    </xf>
    <xf numFmtId="0" fontId="4" fillId="0" borderId="23" xfId="34" applyBorder="1" applyAlignment="1">
      <alignment horizontal="center" vertical="center"/>
    </xf>
    <xf numFmtId="0" fontId="4" fillId="0" borderId="24" xfId="34" applyBorder="1" applyAlignment="1">
      <alignment horizontal="center" vertical="center"/>
    </xf>
    <xf numFmtId="0" fontId="4" fillId="0" borderId="7" xfId="34" applyBorder="1" applyAlignment="1">
      <alignment horizontal="center" vertical="center"/>
    </xf>
    <xf numFmtId="0" fontId="4" fillId="0" borderId="3" xfId="34" applyBorder="1" applyAlignment="1">
      <alignment horizontal="center" vertical="center"/>
    </xf>
    <xf numFmtId="0" fontId="4" fillId="0" borderId="7" xfId="34" applyFont="1" applyBorder="1" applyAlignment="1">
      <alignment horizontal="center" vertical="center" wrapText="1"/>
    </xf>
    <xf numFmtId="0" fontId="4" fillId="0" borderId="31" xfId="34" applyBorder="1" applyAlignment="1">
      <alignment horizontal="center" vertical="center"/>
    </xf>
    <xf numFmtId="0" fontId="4" fillId="0" borderId="32" xfId="34" applyBorder="1" applyAlignment="1">
      <alignment horizontal="center" vertical="center"/>
    </xf>
    <xf numFmtId="0" fontId="4" fillId="0" borderId="33" xfId="34" applyBorder="1" applyAlignment="1">
      <alignment horizontal="center" vertical="center"/>
    </xf>
    <xf numFmtId="0" fontId="4" fillId="0" borderId="1" xfId="34" applyBorder="1" applyAlignment="1">
      <alignment horizontal="center" vertical="center"/>
    </xf>
    <xf numFmtId="0" fontId="4" fillId="0" borderId="2" xfId="34" applyBorder="1" applyAlignment="1">
      <alignment horizontal="center" vertical="center"/>
    </xf>
    <xf numFmtId="0" fontId="4" fillId="0" borderId="1" xfId="34" applyFont="1" applyBorder="1" applyAlignment="1">
      <alignment horizontal="center" vertical="center" wrapText="1"/>
    </xf>
    <xf numFmtId="0" fontId="4" fillId="0" borderId="40" xfId="34" applyBorder="1" applyAlignment="1">
      <alignment horizontal="center" vertical="center"/>
    </xf>
    <xf numFmtId="0" fontId="4" fillId="0" borderId="41" xfId="34" applyBorder="1" applyAlignment="1">
      <alignment horizontal="center" vertical="center"/>
    </xf>
    <xf numFmtId="0" fontId="4" fillId="0" borderId="42" xfId="34" applyBorder="1" applyAlignment="1">
      <alignment horizontal="center" vertical="center"/>
    </xf>
    <xf numFmtId="0" fontId="4" fillId="0" borderId="5" xfId="34" applyBorder="1" applyAlignment="1">
      <alignment horizontal="center" vertical="center"/>
    </xf>
    <xf numFmtId="0" fontId="4" fillId="0" borderId="6" xfId="34" applyBorder="1" applyAlignment="1">
      <alignment horizontal="center" vertical="center"/>
    </xf>
    <xf numFmtId="0" fontId="4" fillId="0" borderId="31" xfId="33" applyBorder="1" applyAlignment="1">
      <alignment horizontal="center" vertical="center"/>
    </xf>
    <xf numFmtId="0" fontId="4" fillId="0" borderId="32" xfId="33" applyBorder="1" applyAlignment="1">
      <alignment horizontal="center" vertical="center"/>
    </xf>
    <xf numFmtId="0" fontId="4" fillId="0" borderId="33" xfId="33" applyBorder="1" applyAlignment="1">
      <alignment horizontal="center" vertical="center"/>
    </xf>
    <xf numFmtId="0" fontId="4" fillId="0" borderId="1" xfId="33" applyBorder="1" applyAlignment="1">
      <alignment horizontal="center" vertical="center"/>
    </xf>
    <xf numFmtId="0" fontId="4" fillId="0" borderId="2" xfId="33" applyBorder="1" applyAlignment="1">
      <alignment horizontal="center" vertical="center"/>
    </xf>
    <xf numFmtId="0" fontId="4" fillId="0" borderId="40" xfId="33" applyBorder="1" applyAlignment="1">
      <alignment horizontal="center" vertical="center"/>
    </xf>
    <xf numFmtId="0" fontId="4" fillId="0" borderId="41" xfId="33" applyBorder="1" applyAlignment="1">
      <alignment horizontal="center" vertical="center"/>
    </xf>
    <xf numFmtId="0" fontId="4" fillId="0" borderId="42" xfId="33" applyBorder="1" applyAlignment="1">
      <alignment horizontal="center" vertical="center"/>
    </xf>
    <xf numFmtId="0" fontId="4" fillId="0" borderId="5" xfId="33" applyBorder="1" applyAlignment="1">
      <alignment horizontal="center" vertical="center"/>
    </xf>
    <xf numFmtId="0" fontId="4" fillId="0" borderId="6" xfId="33" applyBorder="1" applyAlignment="1">
      <alignment horizontal="center" vertical="center"/>
    </xf>
    <xf numFmtId="0" fontId="0" fillId="2" borderId="46" xfId="33" applyFont="1" applyFill="1" applyBorder="1" applyAlignment="1">
      <alignment horizontal="center" vertical="center" wrapText="1" readingOrder="1"/>
    </xf>
    <xf numFmtId="0" fontId="8" fillId="0" borderId="48" xfId="10" applyFont="1" applyBorder="1" applyAlignment="1">
      <alignment horizontal="center" vertical="center" wrapText="1" readingOrder="1"/>
    </xf>
    <xf numFmtId="0" fontId="8" fillId="0" borderId="49" xfId="10" applyFont="1" applyBorder="1" applyAlignment="1">
      <alignment horizontal="center" vertical="center" wrapText="1" readingOrder="1"/>
    </xf>
    <xf numFmtId="0" fontId="8" fillId="0" borderId="4" xfId="31" applyFont="1" applyFill="1" applyBorder="1" applyAlignment="1">
      <alignment horizontal="center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0" fontId="0" fillId="0" borderId="0" xfId="0" applyFont="1" applyFill="1"/>
    <xf numFmtId="0" fontId="8" fillId="0" borderId="16" xfId="10" applyFont="1" applyBorder="1" applyAlignment="1">
      <alignment horizontal="center" vertical="center" wrapText="1" readingOrder="1"/>
    </xf>
    <xf numFmtId="0" fontId="8" fillId="0" borderId="8" xfId="13" applyFont="1" applyFill="1" applyBorder="1" applyAlignment="1">
      <alignment horizontal="center" vertical="center" wrapText="1" readingOrder="1"/>
    </xf>
    <xf numFmtId="0" fontId="8" fillId="0" borderId="12" xfId="10" applyFont="1" applyBorder="1" applyAlignment="1">
      <alignment horizontal="center" vertical="center" wrapText="1" readingOrder="1"/>
    </xf>
    <xf numFmtId="0" fontId="8" fillId="0" borderId="8" xfId="10" applyFont="1" applyBorder="1" applyAlignment="1">
      <alignment horizontal="center" vertical="center" wrapText="1" readingOrder="1"/>
    </xf>
    <xf numFmtId="0" fontId="3" fillId="0" borderId="0" xfId="35"/>
    <xf numFmtId="0" fontId="3" fillId="3" borderId="0" xfId="35" applyFill="1" applyAlignment="1">
      <alignment horizontal="left" vertical="top" wrapText="1"/>
    </xf>
    <xf numFmtId="0" fontId="14" fillId="4" borderId="0" xfId="35" applyFont="1" applyFill="1" applyBorder="1" applyAlignment="1">
      <alignment horizontal="center"/>
    </xf>
    <xf numFmtId="0" fontId="15" fillId="0" borderId="0" xfId="35" applyFont="1"/>
    <xf numFmtId="0" fontId="16" fillId="4" borderId="1" xfId="35" applyFont="1" applyFill="1" applyBorder="1" applyAlignment="1">
      <alignment horizontal="center"/>
    </xf>
    <xf numFmtId="0" fontId="16" fillId="5" borderId="1" xfId="35" applyFont="1" applyFill="1" applyBorder="1" applyAlignment="1">
      <alignment horizontal="center"/>
    </xf>
    <xf numFmtId="0" fontId="16" fillId="5" borderId="34" xfId="35" applyFont="1" applyFill="1" applyBorder="1" applyAlignment="1">
      <alignment horizontal="center"/>
    </xf>
    <xf numFmtId="0" fontId="16" fillId="5" borderId="0" xfId="35" applyFont="1" applyFill="1" applyBorder="1" applyAlignment="1">
      <alignment horizontal="center"/>
    </xf>
    <xf numFmtId="164" fontId="3" fillId="6" borderId="0" xfId="35" applyNumberFormat="1" applyFill="1" applyAlignment="1">
      <alignment horizontal="center"/>
    </xf>
    <xf numFmtId="9" fontId="0" fillId="0" borderId="55" xfId="36" applyFont="1" applyBorder="1" applyAlignment="1">
      <alignment horizontal="center"/>
    </xf>
    <xf numFmtId="0" fontId="16" fillId="4" borderId="56" xfId="35" applyFont="1" applyFill="1" applyBorder="1" applyAlignment="1">
      <alignment horizontal="center"/>
    </xf>
    <xf numFmtId="0" fontId="8" fillId="0" borderId="16" xfId="10" applyFont="1" applyBorder="1" applyAlignment="1">
      <alignment horizontal="center" vertical="center" wrapText="1" readingOrder="1"/>
    </xf>
    <xf numFmtId="0" fontId="8" fillId="0" borderId="12" xfId="10" applyFont="1" applyBorder="1" applyAlignment="1">
      <alignment horizontal="center" vertical="center" wrapText="1" readingOrder="1"/>
    </xf>
    <xf numFmtId="0" fontId="8" fillId="0" borderId="8" xfId="10" applyFont="1" applyBorder="1" applyAlignment="1">
      <alignment horizontal="center" vertical="center" wrapText="1" readingOrder="1"/>
    </xf>
    <xf numFmtId="0" fontId="8" fillId="0" borderId="16" xfId="10" applyFont="1" applyBorder="1" applyAlignment="1">
      <alignment horizontal="center" vertical="center" wrapText="1" readingOrder="1"/>
    </xf>
    <xf numFmtId="0" fontId="2" fillId="0" borderId="0" xfId="38"/>
    <xf numFmtId="0" fontId="2" fillId="0" borderId="0" xfId="38" applyAlignment="1">
      <alignment horizontal="center"/>
    </xf>
    <xf numFmtId="0" fontId="17" fillId="7" borderId="0" xfId="38" applyFont="1" applyFill="1" applyBorder="1" applyAlignment="1">
      <alignment horizontal="center" wrapText="1"/>
    </xf>
    <xf numFmtId="0" fontId="16" fillId="4" borderId="58" xfId="38" applyFont="1" applyFill="1" applyBorder="1" applyAlignment="1">
      <alignment horizontal="center" vertical="center"/>
    </xf>
    <xf numFmtId="0" fontId="16" fillId="8" borderId="59" xfId="38" applyFont="1" applyFill="1" applyBorder="1" applyAlignment="1">
      <alignment horizontal="center" vertical="center"/>
    </xf>
    <xf numFmtId="0" fontId="18" fillId="9" borderId="59" xfId="38" applyFont="1" applyFill="1" applyBorder="1" applyAlignment="1">
      <alignment horizontal="center" vertical="center" wrapText="1"/>
    </xf>
    <xf numFmtId="0" fontId="16" fillId="4" borderId="0" xfId="38" applyFont="1" applyFill="1" applyBorder="1" applyAlignment="1">
      <alignment horizontal="center" vertical="center"/>
    </xf>
    <xf numFmtId="0" fontId="19" fillId="4" borderId="60" xfId="38" applyFont="1" applyFill="1" applyBorder="1" applyAlignment="1">
      <alignment horizontal="center" vertical="center"/>
    </xf>
    <xf numFmtId="0" fontId="16" fillId="4" borderId="60" xfId="38" applyFont="1" applyFill="1" applyBorder="1" applyAlignment="1">
      <alignment horizontal="center" vertical="center"/>
    </xf>
    <xf numFmtId="0" fontId="16" fillId="8" borderId="64" xfId="38" applyFont="1" applyFill="1" applyBorder="1" applyAlignment="1">
      <alignment horizontal="center" vertical="center"/>
    </xf>
    <xf numFmtId="0" fontId="16" fillId="9" borderId="64" xfId="38" applyFont="1" applyFill="1" applyBorder="1" applyAlignment="1">
      <alignment horizontal="center" vertical="center"/>
    </xf>
    <xf numFmtId="0" fontId="16" fillId="5" borderId="65" xfId="38" applyFont="1" applyFill="1" applyBorder="1" applyAlignment="1">
      <alignment horizontal="center" vertical="center"/>
    </xf>
    <xf numFmtId="0" fontId="16" fillId="5" borderId="1" xfId="38" applyFont="1" applyFill="1" applyBorder="1" applyAlignment="1">
      <alignment horizontal="center" vertical="center"/>
    </xf>
    <xf numFmtId="0" fontId="16" fillId="5" borderId="66" xfId="38" applyFont="1" applyFill="1" applyBorder="1" applyAlignment="1">
      <alignment horizontal="center" vertical="center"/>
    </xf>
    <xf numFmtId="0" fontId="16" fillId="5" borderId="0" xfId="38" applyFont="1" applyFill="1" applyBorder="1" applyAlignment="1">
      <alignment horizontal="center" vertical="center"/>
    </xf>
    <xf numFmtId="0" fontId="16" fillId="4" borderId="67" xfId="38" applyFont="1" applyFill="1" applyBorder="1" applyAlignment="1">
      <alignment horizontal="center" vertical="center"/>
    </xf>
    <xf numFmtId="9" fontId="16" fillId="8" borderId="68" xfId="38" applyNumberFormat="1" applyFont="1" applyFill="1" applyBorder="1" applyAlignment="1">
      <alignment horizontal="center" vertical="center"/>
    </xf>
    <xf numFmtId="165" fontId="20" fillId="9" borderId="68" xfId="39" applyNumberFormat="1" applyFont="1" applyFill="1" applyBorder="1" applyAlignment="1">
      <alignment horizontal="center" vertical="center"/>
    </xf>
    <xf numFmtId="9" fontId="0" fillId="0" borderId="69" xfId="40" applyFont="1" applyBorder="1" applyAlignment="1">
      <alignment horizontal="center"/>
    </xf>
    <xf numFmtId="9" fontId="0" fillId="0" borderId="1" xfId="40" applyFont="1" applyBorder="1" applyAlignment="1">
      <alignment horizontal="center"/>
    </xf>
    <xf numFmtId="9" fontId="0" fillId="0" borderId="65" xfId="40" applyFont="1" applyBorder="1" applyAlignment="1">
      <alignment horizontal="center"/>
    </xf>
    <xf numFmtId="9" fontId="0" fillId="9" borderId="69" xfId="40" applyFont="1" applyFill="1" applyBorder="1" applyAlignment="1">
      <alignment horizontal="center"/>
    </xf>
    <xf numFmtId="9" fontId="0" fillId="0" borderId="0" xfId="40" applyFont="1" applyFill="1" applyAlignment="1">
      <alignment horizontal="center"/>
    </xf>
    <xf numFmtId="9" fontId="0" fillId="0" borderId="70" xfId="40" applyFont="1" applyBorder="1" applyAlignment="1">
      <alignment horizontal="center"/>
    </xf>
    <xf numFmtId="0" fontId="16" fillId="4" borderId="57" xfId="38" applyFont="1" applyFill="1" applyBorder="1" applyAlignment="1">
      <alignment horizontal="center" vertical="center"/>
    </xf>
    <xf numFmtId="9" fontId="16" fillId="8" borderId="0" xfId="38" applyNumberFormat="1" applyFont="1" applyFill="1" applyBorder="1" applyAlignment="1">
      <alignment horizontal="center" vertical="center"/>
    </xf>
    <xf numFmtId="9" fontId="0" fillId="9" borderId="1" xfId="37" applyFont="1" applyFill="1" applyBorder="1" applyAlignment="1">
      <alignment horizontal="center" vertical="center"/>
    </xf>
    <xf numFmtId="9" fontId="0" fillId="0" borderId="1" xfId="37" applyFont="1" applyFill="1" applyBorder="1" applyAlignment="1">
      <alignment horizontal="center" vertical="center"/>
    </xf>
    <xf numFmtId="9" fontId="16" fillId="8" borderId="71" xfId="38" applyNumberFormat="1" applyFont="1" applyFill="1" applyBorder="1" applyAlignment="1">
      <alignment horizontal="center" vertical="center"/>
    </xf>
    <xf numFmtId="0" fontId="21" fillId="0" borderId="0" xfId="38" applyFont="1"/>
    <xf numFmtId="0" fontId="2" fillId="10" borderId="1" xfId="38" applyFill="1" applyBorder="1"/>
    <xf numFmtId="0" fontId="2" fillId="10" borderId="1" xfId="38" applyFill="1" applyBorder="1" applyAlignment="1">
      <alignment horizontal="center"/>
    </xf>
    <xf numFmtId="9" fontId="2" fillId="0" borderId="1" xfId="38" applyNumberFormat="1" applyBorder="1" applyAlignment="1">
      <alignment horizontal="center"/>
    </xf>
    <xf numFmtId="9" fontId="2" fillId="9" borderId="1" xfId="38" applyNumberFormat="1" applyFill="1" applyBorder="1" applyAlignment="1">
      <alignment horizontal="center"/>
    </xf>
    <xf numFmtId="9" fontId="0" fillId="10" borderId="69" xfId="40" applyFont="1" applyFill="1" applyBorder="1" applyAlignment="1">
      <alignment horizontal="center"/>
    </xf>
    <xf numFmtId="9" fontId="0" fillId="0" borderId="0" xfId="40" applyFont="1" applyBorder="1" applyAlignment="1">
      <alignment horizontal="center"/>
    </xf>
    <xf numFmtId="0" fontId="0" fillId="0" borderId="0" xfId="40" applyNumberFormat="1" applyFont="1" applyBorder="1" applyAlignment="1">
      <alignment horizontal="center"/>
    </xf>
    <xf numFmtId="0" fontId="0" fillId="11" borderId="0" xfId="0" applyFill="1" applyAlignment="1">
      <alignment horizontal="left" vertical="center"/>
    </xf>
    <xf numFmtId="0" fontId="16" fillId="11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 wrapText="1"/>
    </xf>
    <xf numFmtId="0" fontId="16" fillId="4" borderId="56" xfId="0" applyFont="1" applyFill="1" applyBorder="1" applyAlignment="1">
      <alignment horizontal="center" vertical="center" wrapText="1"/>
    </xf>
    <xf numFmtId="0" fontId="16" fillId="4" borderId="54" xfId="0" applyFont="1" applyFill="1" applyBorder="1" applyAlignment="1">
      <alignment horizontal="center" vertical="center" wrapText="1"/>
    </xf>
    <xf numFmtId="0" fontId="16" fillId="12" borderId="72" xfId="0" applyFont="1" applyFill="1" applyBorder="1" applyAlignment="1">
      <alignment horizontal="center" vertical="center" wrapText="1"/>
    </xf>
    <xf numFmtId="0" fontId="16" fillId="12" borderId="59" xfId="0" applyFont="1" applyFill="1" applyBorder="1" applyAlignment="1">
      <alignment vertical="center" wrapText="1"/>
    </xf>
    <xf numFmtId="0" fontId="16" fillId="12" borderId="0" xfId="0" applyFont="1" applyFill="1" applyBorder="1" applyAlignment="1">
      <alignment vertical="center" wrapText="1"/>
    </xf>
    <xf numFmtId="0" fontId="16" fillId="12" borderId="74" xfId="0" applyFont="1" applyFill="1" applyBorder="1" applyAlignment="1">
      <alignment horizontal="center" vertical="center" wrapText="1"/>
    </xf>
    <xf numFmtId="0" fontId="16" fillId="8" borderId="72" xfId="0" applyFont="1" applyFill="1" applyBorder="1" applyAlignment="1">
      <alignment horizontal="center" vertical="center" wrapText="1"/>
    </xf>
    <xf numFmtId="0" fontId="16" fillId="8" borderId="54" xfId="0" applyFont="1" applyFill="1" applyBorder="1" applyAlignment="1">
      <alignment horizontal="center" vertical="center" wrapText="1"/>
    </xf>
    <xf numFmtId="0" fontId="16" fillId="8" borderId="7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9" fontId="0" fillId="0" borderId="0" xfId="0" applyNumberFormat="1" applyFill="1" applyAlignment="1">
      <alignment horizontal="center"/>
    </xf>
    <xf numFmtId="166" fontId="0" fillId="0" borderId="0" xfId="37" applyNumberFormat="1" applyFont="1" applyFill="1" applyAlignment="1">
      <alignment horizontal="center"/>
    </xf>
    <xf numFmtId="0" fontId="8" fillId="0" borderId="16" xfId="10" applyFont="1" applyBorder="1" applyAlignment="1">
      <alignment horizontal="center" vertical="center" wrapText="1" readingOrder="1"/>
    </xf>
    <xf numFmtId="0" fontId="16" fillId="11" borderId="72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16" fillId="11" borderId="73" xfId="0" applyFont="1" applyFill="1" applyBorder="1" applyAlignment="1">
      <alignment horizontal="center" vertical="center"/>
    </xf>
    <xf numFmtId="0" fontId="17" fillId="7" borderId="57" xfId="38" applyFont="1" applyFill="1" applyBorder="1" applyAlignment="1">
      <alignment horizontal="center" wrapText="1"/>
    </xf>
    <xf numFmtId="0" fontId="17" fillId="7" borderId="0" xfId="38" applyFont="1" applyFill="1" applyBorder="1" applyAlignment="1">
      <alignment horizontal="center" wrapText="1"/>
    </xf>
    <xf numFmtId="0" fontId="2" fillId="3" borderId="0" xfId="38" applyFill="1" applyAlignment="1">
      <alignment horizontal="left" vertical="top" wrapText="1"/>
    </xf>
    <xf numFmtId="0" fontId="2" fillId="3" borderId="0" xfId="38" applyFill="1" applyAlignment="1">
      <alignment horizontal="left" vertical="top"/>
    </xf>
    <xf numFmtId="0" fontId="17" fillId="7" borderId="52" xfId="38" applyFont="1" applyFill="1" applyBorder="1" applyAlignment="1">
      <alignment horizontal="center"/>
    </xf>
    <xf numFmtId="0" fontId="17" fillId="7" borderId="51" xfId="38" applyFont="1" applyFill="1" applyBorder="1" applyAlignment="1">
      <alignment horizontal="center"/>
    </xf>
    <xf numFmtId="0" fontId="17" fillId="7" borderId="50" xfId="38" applyFont="1" applyFill="1" applyBorder="1" applyAlignment="1">
      <alignment horizontal="center"/>
    </xf>
    <xf numFmtId="0" fontId="16" fillId="4" borderId="59" xfId="38" applyFont="1" applyFill="1" applyBorder="1" applyAlignment="1">
      <alignment horizontal="center" vertical="center"/>
    </xf>
    <xf numFmtId="0" fontId="16" fillId="4" borderId="61" xfId="38" applyFont="1" applyFill="1" applyBorder="1" applyAlignment="1">
      <alignment horizontal="center" vertical="center"/>
    </xf>
    <xf numFmtId="0" fontId="16" fillId="4" borderId="62" xfId="38" applyFont="1" applyFill="1" applyBorder="1" applyAlignment="1">
      <alignment horizontal="center" vertical="center"/>
    </xf>
    <xf numFmtId="0" fontId="16" fillId="4" borderId="63" xfId="38" applyFont="1" applyFill="1" applyBorder="1" applyAlignment="1">
      <alignment horizontal="center" vertical="center"/>
    </xf>
    <xf numFmtId="0" fontId="3" fillId="3" borderId="0" xfId="35" applyFill="1" applyAlignment="1">
      <alignment horizontal="left" vertical="top" wrapText="1"/>
    </xf>
    <xf numFmtId="0" fontId="14" fillId="4" borderId="54" xfId="35" applyFont="1" applyFill="1" applyBorder="1" applyAlignment="1">
      <alignment horizontal="center"/>
    </xf>
    <xf numFmtId="0" fontId="14" fillId="4" borderId="0" xfId="35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2" xfId="10" applyFont="1" applyBorder="1" applyAlignment="1">
      <alignment horizontal="center" vertical="center" wrapText="1" readingOrder="1"/>
    </xf>
    <xf numFmtId="0" fontId="4" fillId="0" borderId="44" xfId="34" applyBorder="1" applyAlignment="1">
      <alignment horizontal="center" vertical="center" wrapText="1"/>
    </xf>
    <xf numFmtId="0" fontId="6" fillId="0" borderId="35" xfId="31" applyFill="1" applyBorder="1" applyAlignment="1">
      <alignment horizontal="center" vertical="center" wrapText="1"/>
    </xf>
    <xf numFmtId="0" fontId="6" fillId="0" borderId="26" xfId="31" applyFill="1" applyBorder="1" applyAlignment="1">
      <alignment horizontal="center" vertical="center" wrapText="1"/>
    </xf>
    <xf numFmtId="0" fontId="4" fillId="0" borderId="43" xfId="34" applyBorder="1" applyAlignment="1">
      <alignment horizontal="center" vertical="center" wrapText="1"/>
    </xf>
    <xf numFmtId="0" fontId="4" fillId="0" borderId="34" xfId="34" applyBorder="1" applyAlignment="1">
      <alignment horizontal="center" vertical="center" wrapText="1"/>
    </xf>
    <xf numFmtId="0" fontId="4" fillId="0" borderId="25" xfId="34" applyBorder="1" applyAlignment="1">
      <alignment horizontal="center" vertical="center" wrapText="1"/>
    </xf>
    <xf numFmtId="9" fontId="4" fillId="0" borderId="37" xfId="34" applyNumberFormat="1" applyBorder="1" applyAlignment="1">
      <alignment horizontal="center" vertical="center"/>
    </xf>
    <xf numFmtId="0" fontId="6" fillId="0" borderId="28" xfId="31" applyFill="1" applyBorder="1" applyAlignment="1">
      <alignment horizontal="center" vertical="center"/>
    </xf>
    <xf numFmtId="0" fontId="6" fillId="0" borderId="18" xfId="31" applyFill="1" applyBorder="1" applyAlignment="1">
      <alignment horizontal="center" vertical="center"/>
    </xf>
    <xf numFmtId="0" fontId="4" fillId="0" borderId="37" xfId="34" applyBorder="1" applyAlignment="1">
      <alignment horizontal="center" vertical="center"/>
    </xf>
    <xf numFmtId="0" fontId="4" fillId="0" borderId="39" xfId="34" applyBorder="1" applyAlignment="1">
      <alignment horizontal="center" vertical="center"/>
    </xf>
    <xf numFmtId="0" fontId="6" fillId="0" borderId="30" xfId="31" applyFill="1" applyBorder="1" applyAlignment="1">
      <alignment horizontal="center" vertical="center"/>
    </xf>
    <xf numFmtId="0" fontId="6" fillId="0" borderId="20" xfId="31" applyFill="1" applyBorder="1" applyAlignment="1">
      <alignment horizontal="center" vertical="center"/>
    </xf>
    <xf numFmtId="0" fontId="8" fillId="0" borderId="53" xfId="10" applyFont="1" applyBorder="1" applyAlignment="1">
      <alignment horizontal="center" vertical="center" wrapText="1" readingOrder="1"/>
    </xf>
    <xf numFmtId="0" fontId="8" fillId="0" borderId="49" xfId="10" applyFont="1" applyBorder="1" applyAlignment="1">
      <alignment horizontal="center" vertical="center" wrapText="1" readingOrder="1"/>
    </xf>
    <xf numFmtId="0" fontId="8" fillId="0" borderId="30" xfId="10" applyFont="1" applyBorder="1" applyAlignment="1">
      <alignment horizontal="center" vertical="center" wrapText="1" readingOrder="1"/>
    </xf>
    <xf numFmtId="0" fontId="8" fillId="0" borderId="47" xfId="10" applyFont="1" applyBorder="1" applyAlignment="1">
      <alignment horizontal="center" vertical="center" wrapText="1" readingOrder="1"/>
    </xf>
    <xf numFmtId="0" fontId="13" fillId="0" borderId="43" xfId="34" applyFont="1" applyBorder="1" applyAlignment="1">
      <alignment horizontal="center" vertical="center" wrapText="1"/>
    </xf>
    <xf numFmtId="0" fontId="13" fillId="0" borderId="34" xfId="31" applyFont="1" applyFill="1" applyBorder="1" applyAlignment="1">
      <alignment horizontal="center" vertical="center" wrapText="1"/>
    </xf>
    <xf numFmtId="0" fontId="13" fillId="0" borderId="25" xfId="31" applyFont="1" applyFill="1" applyBorder="1" applyAlignment="1">
      <alignment horizontal="center" vertical="center" wrapText="1"/>
    </xf>
    <xf numFmtId="0" fontId="4" fillId="0" borderId="35" xfId="34" applyBorder="1" applyAlignment="1">
      <alignment horizontal="center" vertical="center" wrapText="1"/>
    </xf>
    <xf numFmtId="0" fontId="4" fillId="0" borderId="26" xfId="34" applyBorder="1" applyAlignment="1">
      <alignment horizontal="center" vertical="center" wrapText="1"/>
    </xf>
    <xf numFmtId="0" fontId="4" fillId="0" borderId="38" xfId="34" applyBorder="1" applyAlignment="1">
      <alignment horizontal="center" vertical="center"/>
    </xf>
    <xf numFmtId="0" fontId="6" fillId="0" borderId="29" xfId="31" applyFill="1" applyBorder="1" applyAlignment="1">
      <alignment horizontal="center" vertical="center"/>
    </xf>
    <xf numFmtId="0" fontId="6" fillId="0" borderId="19" xfId="31" applyFill="1" applyBorder="1" applyAlignment="1">
      <alignment horizontal="center" vertical="center"/>
    </xf>
    <xf numFmtId="0" fontId="8" fillId="0" borderId="9" xfId="31" applyFont="1" applyFill="1" applyBorder="1" applyAlignment="1">
      <alignment horizontal="center" vertical="center"/>
    </xf>
    <xf numFmtId="0" fontId="6" fillId="0" borderId="10" xfId="31" applyFill="1" applyBorder="1" applyAlignment="1">
      <alignment horizontal="center" vertical="center"/>
    </xf>
    <xf numFmtId="0" fontId="6" fillId="0" borderId="11" xfId="31" applyFill="1" applyBorder="1" applyAlignment="1">
      <alignment horizontal="center" vertical="center"/>
    </xf>
    <xf numFmtId="0" fontId="8" fillId="0" borderId="8" xfId="10" applyFont="1" applyBorder="1" applyAlignment="1">
      <alignment horizontal="center" vertical="center" wrapText="1" readingOrder="1"/>
    </xf>
    <xf numFmtId="0" fontId="0" fillId="2" borderId="45" xfId="33" applyFont="1" applyFill="1" applyBorder="1" applyAlignment="1">
      <alignment horizontal="center" vertical="center" wrapText="1" readingOrder="1"/>
    </xf>
    <xf numFmtId="0" fontId="8" fillId="2" borderId="52" xfId="33" applyFont="1" applyFill="1" applyBorder="1" applyAlignment="1">
      <alignment horizontal="center" vertical="center" wrapText="1" readingOrder="1"/>
    </xf>
    <xf numFmtId="0" fontId="8" fillId="2" borderId="51" xfId="33" applyFont="1" applyFill="1" applyBorder="1" applyAlignment="1">
      <alignment horizontal="center" vertical="center" wrapText="1" readingOrder="1"/>
    </xf>
    <xf numFmtId="0" fontId="0" fillId="2" borderId="50" xfId="33" applyFont="1" applyFill="1" applyBorder="1" applyAlignment="1">
      <alignment horizontal="center" vertical="center" wrapText="1" readingOrder="1"/>
    </xf>
    <xf numFmtId="0" fontId="12" fillId="0" borderId="52" xfId="10" applyFont="1" applyBorder="1" applyAlignment="1">
      <alignment horizontal="center" vertical="center" wrapText="1" readingOrder="1"/>
    </xf>
    <xf numFmtId="0" fontId="13" fillId="2" borderId="51" xfId="33" applyFont="1" applyFill="1" applyBorder="1" applyAlignment="1">
      <alignment horizontal="center" vertical="center" wrapText="1" readingOrder="1"/>
    </xf>
    <xf numFmtId="0" fontId="8" fillId="0" borderId="10" xfId="31" applyFont="1" applyFill="1" applyBorder="1" applyAlignment="1">
      <alignment horizontal="center" vertical="center"/>
    </xf>
    <xf numFmtId="0" fontId="8" fillId="0" borderId="11" xfId="31" applyFont="1" applyFill="1" applyBorder="1" applyAlignment="1">
      <alignment horizontal="center" vertical="center"/>
    </xf>
    <xf numFmtId="0" fontId="0" fillId="2" borderId="8" xfId="33" applyFont="1" applyFill="1" applyBorder="1" applyAlignment="1">
      <alignment horizontal="center" vertical="center" wrapText="1" readingOrder="1"/>
    </xf>
    <xf numFmtId="0" fontId="0" fillId="2" borderId="14" xfId="33" applyFont="1" applyFill="1" applyBorder="1" applyAlignment="1">
      <alignment horizontal="center" vertical="center" wrapText="1" readingOrder="1"/>
    </xf>
    <xf numFmtId="0" fontId="8" fillId="0" borderId="8" xfId="10" applyFont="1" applyBorder="1" applyAlignment="1">
      <alignment horizontal="center" vertical="center" readingOrder="1"/>
    </xf>
    <xf numFmtId="0" fontId="6" fillId="0" borderId="14" xfId="31" applyFill="1" applyBorder="1" applyAlignment="1">
      <alignment horizontal="center" vertical="center" readingOrder="1"/>
    </xf>
    <xf numFmtId="9" fontId="4" fillId="0" borderId="36" xfId="32" applyFont="1" applyBorder="1" applyAlignment="1">
      <alignment horizontal="center" vertical="center"/>
    </xf>
    <xf numFmtId="9" fontId="0" fillId="0" borderId="27" xfId="32" applyFont="1" applyFill="1" applyBorder="1" applyAlignment="1">
      <alignment horizontal="center" vertical="center"/>
    </xf>
    <xf numFmtId="9" fontId="0" fillId="0" borderId="17" xfId="32" applyFont="1" applyFill="1" applyBorder="1" applyAlignment="1">
      <alignment horizontal="center" vertical="center"/>
    </xf>
    <xf numFmtId="0" fontId="13" fillId="0" borderId="34" xfId="34" applyFont="1" applyBorder="1" applyAlignment="1">
      <alignment horizontal="center" vertical="center" wrapText="1"/>
    </xf>
    <xf numFmtId="0" fontId="13" fillId="0" borderId="25" xfId="34" applyFont="1" applyBorder="1" applyAlignment="1">
      <alignment horizontal="center" vertical="center" wrapText="1"/>
    </xf>
    <xf numFmtId="0" fontId="0" fillId="2" borderId="13" xfId="33" applyFont="1" applyFill="1" applyBorder="1" applyAlignment="1">
      <alignment horizontal="center" vertical="center" wrapText="1" readingOrder="1"/>
    </xf>
    <xf numFmtId="0" fontId="0" fillId="0" borderId="0" xfId="27" applyFont="1"/>
    <xf numFmtId="0" fontId="6" fillId="0" borderId="0" xfId="12"/>
    <xf numFmtId="0" fontId="22" fillId="0" borderId="75" xfId="27" applyFont="1" applyBorder="1" applyAlignment="1">
      <alignment horizontal="center" vertical="center" wrapText="1"/>
    </xf>
    <xf numFmtId="0" fontId="22" fillId="0" borderId="15" xfId="27" applyFont="1" applyBorder="1" applyAlignment="1">
      <alignment horizontal="center" vertical="center" wrapText="1"/>
    </xf>
    <xf numFmtId="0" fontId="22" fillId="0" borderId="15" xfId="41" applyFont="1" applyBorder="1" applyAlignment="1">
      <alignment horizontal="center" vertical="center" wrapText="1" readingOrder="1"/>
    </xf>
    <xf numFmtId="0" fontId="22" fillId="0" borderId="76" xfId="42" applyFont="1" applyBorder="1" applyAlignment="1">
      <alignment horizontal="center" vertical="center" wrapText="1" readingOrder="1"/>
    </xf>
    <xf numFmtId="0" fontId="22" fillId="0" borderId="48" xfId="41" applyFont="1" applyBorder="1" applyAlignment="1">
      <alignment horizontal="center" vertical="center" wrapText="1" readingOrder="1"/>
    </xf>
    <xf numFmtId="0" fontId="22" fillId="0" borderId="49" xfId="41" applyFont="1" applyBorder="1" applyAlignment="1">
      <alignment horizontal="center" vertical="center" wrapText="1" readingOrder="1"/>
    </xf>
    <xf numFmtId="0" fontId="22" fillId="0" borderId="8" xfId="41" applyFont="1" applyBorder="1" applyAlignment="1">
      <alignment horizontal="center" vertical="center" wrapText="1" readingOrder="1"/>
    </xf>
    <xf numFmtId="0" fontId="23" fillId="0" borderId="0" xfId="12" applyFont="1"/>
    <xf numFmtId="0" fontId="22" fillId="0" borderId="77" xfId="27" applyFont="1" applyBorder="1" applyAlignment="1">
      <alignment horizontal="center" vertical="center" wrapText="1"/>
    </xf>
    <xf numFmtId="0" fontId="22" fillId="0" borderId="69" xfId="27" applyFont="1" applyBorder="1" applyAlignment="1">
      <alignment horizontal="center" vertical="center" wrapText="1"/>
    </xf>
    <xf numFmtId="0" fontId="22" fillId="0" borderId="69" xfId="41" applyFont="1" applyBorder="1" applyAlignment="1">
      <alignment horizontal="center" vertical="center" wrapText="1" readingOrder="1"/>
    </xf>
    <xf numFmtId="0" fontId="22" fillId="0" borderId="70" xfId="42" applyFont="1" applyBorder="1" applyAlignment="1">
      <alignment horizontal="center" vertical="center" wrapText="1" readingOrder="1"/>
    </xf>
    <xf numFmtId="0" fontId="8" fillId="0" borderId="2" xfId="41" applyFont="1" applyBorder="1" applyAlignment="1">
      <alignment horizontal="center" vertical="center" wrapText="1" readingOrder="1"/>
    </xf>
    <xf numFmtId="0" fontId="8" fillId="0" borderId="1" xfId="41" applyFont="1" applyBorder="1" applyAlignment="1">
      <alignment horizontal="center" vertical="center" wrapText="1" readingOrder="1"/>
    </xf>
    <xf numFmtId="0" fontId="22" fillId="0" borderId="78" xfId="41" applyFont="1" applyBorder="1" applyAlignment="1">
      <alignment horizontal="center" vertical="center" wrapText="1" readingOrder="1"/>
    </xf>
    <xf numFmtId="0" fontId="1" fillId="0" borderId="15" xfId="41" applyBorder="1" applyAlignment="1">
      <alignment horizontal="center" vertical="center" wrapText="1"/>
    </xf>
    <xf numFmtId="0" fontId="8" fillId="0" borderId="15" xfId="41" applyFont="1" applyBorder="1" applyAlignment="1">
      <alignment horizontal="center" vertical="center" wrapText="1"/>
    </xf>
    <xf numFmtId="0" fontId="1" fillId="0" borderId="5" xfId="41" applyBorder="1" applyAlignment="1">
      <alignment horizontal="center" vertical="center"/>
    </xf>
    <xf numFmtId="0" fontId="1" fillId="0" borderId="6" xfId="41" applyBorder="1" applyAlignment="1">
      <alignment horizontal="center" vertical="center"/>
    </xf>
    <xf numFmtId="167" fontId="1" fillId="0" borderId="6" xfId="41" applyNumberFormat="1" applyBorder="1" applyAlignment="1">
      <alignment horizontal="center" vertical="center"/>
    </xf>
    <xf numFmtId="9" fontId="10" fillId="0" borderId="79" xfId="23" applyNumberFormat="1" applyFont="1" applyFill="1" applyBorder="1" applyAlignment="1">
      <alignment horizontal="center" vertical="center" wrapText="1" readingOrder="1"/>
    </xf>
    <xf numFmtId="0" fontId="0" fillId="0" borderId="1" xfId="27" applyFont="1" applyBorder="1" applyAlignment="1">
      <alignment horizontal="center" vertical="center" wrapText="1"/>
    </xf>
    <xf numFmtId="0" fontId="12" fillId="0" borderId="1" xfId="27" applyFont="1" applyBorder="1" applyAlignment="1">
      <alignment horizontal="center" vertical="center" wrapText="1"/>
    </xf>
    <xf numFmtId="0" fontId="8" fillId="0" borderId="1" xfId="27" applyFont="1" applyBorder="1" applyAlignment="1">
      <alignment horizontal="center" vertical="center" wrapText="1"/>
    </xf>
    <xf numFmtId="0" fontId="1" fillId="0" borderId="1" xfId="41" applyBorder="1" applyAlignment="1">
      <alignment horizontal="center" vertical="center"/>
    </xf>
    <xf numFmtId="0" fontId="1" fillId="0" borderId="2" xfId="41" applyBorder="1" applyAlignment="1">
      <alignment horizontal="center" vertical="center"/>
    </xf>
    <xf numFmtId="167" fontId="1" fillId="0" borderId="2" xfId="41" applyNumberFormat="1" applyBorder="1" applyAlignment="1">
      <alignment horizontal="center" vertical="center"/>
    </xf>
    <xf numFmtId="9" fontId="10" fillId="0" borderId="1" xfId="23" applyNumberFormat="1" applyFont="1" applyFill="1" applyBorder="1" applyAlignment="1">
      <alignment horizontal="center" vertical="center" wrapText="1" readingOrder="1"/>
    </xf>
    <xf numFmtId="0" fontId="0" fillId="0" borderId="7" xfId="27" applyFont="1" applyBorder="1" applyAlignment="1">
      <alignment horizontal="center" vertical="center" wrapText="1"/>
    </xf>
    <xf numFmtId="0" fontId="12" fillId="0" borderId="7" xfId="27" applyFont="1" applyBorder="1" applyAlignment="1">
      <alignment horizontal="center" vertical="center" wrapText="1"/>
    </xf>
    <xf numFmtId="0" fontId="8" fillId="0" borderId="7" xfId="27" applyFont="1" applyBorder="1" applyAlignment="1">
      <alignment horizontal="center" vertical="center" wrapText="1"/>
    </xf>
    <xf numFmtId="0" fontId="1" fillId="0" borderId="7" xfId="41" applyBorder="1" applyAlignment="1">
      <alignment horizontal="center" vertical="center"/>
    </xf>
    <xf numFmtId="0" fontId="1" fillId="0" borderId="3" xfId="41" applyBorder="1" applyAlignment="1">
      <alignment horizontal="center" vertical="center"/>
    </xf>
    <xf numFmtId="167" fontId="1" fillId="0" borderId="3" xfId="41" applyNumberFormat="1" applyBorder="1" applyAlignment="1">
      <alignment horizontal="center" vertical="center"/>
    </xf>
  </cellXfs>
  <cellStyles count="43">
    <cellStyle name="Comma 2" xfId="39"/>
    <cellStyle name="Normal" xfId="0" builtinId="0"/>
    <cellStyle name="Normal 2" xfId="20"/>
    <cellStyle name="Normal 2 2" xfId="13"/>
    <cellStyle name="Normal 2 2 2" xfId="1"/>
    <cellStyle name="Normal 2 2 2 2" xfId="30"/>
    <cellStyle name="Normal 2 2 2 2 2" xfId="33"/>
    <cellStyle name="Normal 2 2 2 2 2 2" xfId="41"/>
    <cellStyle name="Normal 2 2 2 4" xfId="35"/>
    <cellStyle name="Normal 2 3" xfId="12"/>
    <cellStyle name="Normal 2 4" xfId="15"/>
    <cellStyle name="Normal 2 4 2" xfId="17"/>
    <cellStyle name="Normal 2 5" xfId="14"/>
    <cellStyle name="Normal 3" xfId="19"/>
    <cellStyle name="Normal 3 2" xfId="16"/>
    <cellStyle name="Normal 3 3" xfId="28"/>
    <cellStyle name="Normal 4" xfId="22"/>
    <cellStyle name="Normal 4 2" xfId="18"/>
    <cellStyle name="Normal 4 3" xfId="8"/>
    <cellStyle name="Normal 4 3 2" xfId="25"/>
    <cellStyle name="Normal 4 3 2 2" xfId="42"/>
    <cellStyle name="Normal 5" xfId="21"/>
    <cellStyle name="Normal 5 2" xfId="10"/>
    <cellStyle name="Normal 5 3" xfId="11"/>
    <cellStyle name="Normal 5 3 2" xfId="26"/>
    <cellStyle name="Normal 6" xfId="31"/>
    <cellStyle name="Normal 7" xfId="38"/>
    <cellStyle name="Percent" xfId="37" builtinId="5"/>
    <cellStyle name="Percent 2" xfId="6"/>
    <cellStyle name="Percent 2 2" xfId="2"/>
    <cellStyle name="Percent 2 2 2" xfId="24"/>
    <cellStyle name="Percent 2 2 2 2" xfId="34"/>
    <cellStyle name="Percent 2 3" xfId="3"/>
    <cellStyle name="Percent 2 3 2" xfId="29"/>
    <cellStyle name="Percent 2 4" xfId="4"/>
    <cellStyle name="Percent 3" xfId="7"/>
    <cellStyle name="Percent 3 2" xfId="5"/>
    <cellStyle name="Percent 4" xfId="27"/>
    <cellStyle name="Percent 4 2" xfId="32"/>
    <cellStyle name="Percent 5" xfId="36"/>
    <cellStyle name="Percent 6" xfId="40"/>
    <cellStyle name="ניטראלי 2" xfId="23"/>
    <cellStyle name="ניטראלי 2 2" xfId="9"/>
  </cellStyles>
  <dxfs count="19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rgb="FF00B050"/>
        </patternFill>
      </fill>
    </dxf>
    <dxf>
      <fill>
        <patternFill>
          <bgColor rgb="FFFF3F3F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Trigger recognitions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-20dB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Dynamic_Range!$AO$5:$BC$5</c:f>
              <c:numCache>
                <c:formatCode>General</c:formatCode>
                <c:ptCount val="1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  <c:pt idx="10">
                  <c:v>32</c:v>
                </c:pt>
                <c:pt idx="11">
                  <c:v>35</c:v>
                </c:pt>
                <c:pt idx="12">
                  <c:v>38</c:v>
                </c:pt>
                <c:pt idx="13">
                  <c:v>41</c:v>
                </c:pt>
                <c:pt idx="14">
                  <c:v>44</c:v>
                </c:pt>
              </c:numCache>
            </c:numRef>
          </c:xVal>
          <c:yVal>
            <c:numRef>
              <c:f>Dynamic_Range!$AO$6:$BC$6</c:f>
              <c:numCache>
                <c:formatCode>0%</c:formatCode>
                <c:ptCount val="15"/>
              </c:numCache>
            </c:numRef>
          </c:yVal>
          <c:smooth val="1"/>
          <c:extLst/>
        </c:ser>
        <c:ser>
          <c:idx val="1"/>
          <c:order val="1"/>
          <c:tx>
            <c:v>0dB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Dynamic_Range!$AO$5:$BC$5</c:f>
              <c:numCache>
                <c:formatCode>General</c:formatCode>
                <c:ptCount val="15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  <c:pt idx="10">
                  <c:v>32</c:v>
                </c:pt>
                <c:pt idx="11">
                  <c:v>35</c:v>
                </c:pt>
                <c:pt idx="12">
                  <c:v>38</c:v>
                </c:pt>
                <c:pt idx="13">
                  <c:v>41</c:v>
                </c:pt>
                <c:pt idx="14">
                  <c:v>44</c:v>
                </c:pt>
              </c:numCache>
            </c:numRef>
          </c:xVal>
          <c:yVal>
            <c:numRef>
              <c:f>Dynamic_Range!$AO$7:$BC$7</c:f>
              <c:numCache>
                <c:formatCode>0%</c:formatCode>
                <c:ptCount val="1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17616"/>
        <c:axId val="253717224"/>
      </c:scatterChart>
      <c:valAx>
        <c:axId val="253717616"/>
        <c:scaling>
          <c:orientation val="minMax"/>
          <c:max val="44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Delay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53717224"/>
        <c:crosses val="autoZero"/>
        <c:crossBetween val="midCat"/>
      </c:valAx>
      <c:valAx>
        <c:axId val="2537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recognitions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5371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Dynamic Range - Hey Jabra - Trigger  on CSR ADK4.1</a:t>
            </a:r>
          </a:p>
        </c:rich>
      </c:tx>
      <c:layout>
        <c:manualLayout>
          <c:xMode val="edge"/>
          <c:yMode val="edge"/>
          <c:x val="0.30543107755000598"/>
          <c:y val="3.76343926702257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3.628603160947759E-2"/>
          <c:y val="0.16004988567865308"/>
          <c:w val="0.84136156002425344"/>
          <c:h val="0.698205614170851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Dynamic_Range!$D$6</c:f>
              <c:strCache>
                <c:ptCount val="1"/>
                <c:pt idx="0">
                  <c:v>Simulator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1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Dynamic_Range!$I$5:$AD$5</c:f>
              <c:numCache>
                <c:formatCode>General</c:formatCode>
                <c:ptCount val="22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</c:v>
                </c:pt>
                <c:pt idx="6">
                  <c:v>-12</c:v>
                </c:pt>
                <c:pt idx="7">
                  <c:v>-9</c:v>
                </c:pt>
                <c:pt idx="8">
                  <c:v>-6</c:v>
                </c:pt>
                <c:pt idx="9">
                  <c:v>-3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24</c:v>
                </c:pt>
                <c:pt idx="19">
                  <c:v>27</c:v>
                </c:pt>
                <c:pt idx="20">
                  <c:v>30</c:v>
                </c:pt>
                <c:pt idx="21">
                  <c:v>33</c:v>
                </c:pt>
              </c:numCache>
            </c:numRef>
          </c:xVal>
          <c:yVal>
            <c:numRef>
              <c:f>Dynamic_Range!$I$11:$AD$11</c:f>
              <c:numCache>
                <c:formatCode>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Dynamic_Range!$D$7</c:f>
              <c:strCache>
                <c:ptCount val="1"/>
                <c:pt idx="0">
                  <c:v>SBC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2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Dynamic_Range!$G$5:$AD$5</c:f>
              <c:numCache>
                <c:formatCode>General</c:formatCode>
                <c:ptCount val="24"/>
                <c:pt idx="0">
                  <c:v>-36</c:v>
                </c:pt>
                <c:pt idx="1">
                  <c:v>-33</c:v>
                </c:pt>
                <c:pt idx="2">
                  <c:v>-30</c:v>
                </c:pt>
                <c:pt idx="3">
                  <c:v>-27</c:v>
                </c:pt>
                <c:pt idx="4">
                  <c:v>-24</c:v>
                </c:pt>
                <c:pt idx="5">
                  <c:v>-21</c:v>
                </c:pt>
                <c:pt idx="6">
                  <c:v>-18</c:v>
                </c:pt>
                <c:pt idx="7">
                  <c:v>-15</c:v>
                </c:pt>
                <c:pt idx="8">
                  <c:v>-12</c:v>
                </c:pt>
                <c:pt idx="9">
                  <c:v>-9</c:v>
                </c:pt>
                <c:pt idx="10">
                  <c:v>-6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18</c:v>
                </c:pt>
                <c:pt idx="19">
                  <c:v>21</c:v>
                </c:pt>
                <c:pt idx="20">
                  <c:v>24</c:v>
                </c:pt>
                <c:pt idx="21">
                  <c:v>27</c:v>
                </c:pt>
                <c:pt idx="22">
                  <c:v>30</c:v>
                </c:pt>
                <c:pt idx="23">
                  <c:v>33</c:v>
                </c:pt>
              </c:numCache>
            </c:numRef>
          </c:xVal>
          <c:yVal>
            <c:numRef>
              <c:f>Dynamic_Range!$G$12:$AD$12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Dynamic_Range!$D$8</c:f>
              <c:strCache>
                <c:ptCount val="1"/>
                <c:pt idx="0">
                  <c:v>aptX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6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Dynamic_Range!$I$5:$AD$5</c:f>
              <c:numCache>
                <c:formatCode>General</c:formatCode>
                <c:ptCount val="22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</c:v>
                </c:pt>
                <c:pt idx="6">
                  <c:v>-12</c:v>
                </c:pt>
                <c:pt idx="7">
                  <c:v>-9</c:v>
                </c:pt>
                <c:pt idx="8">
                  <c:v>-6</c:v>
                </c:pt>
                <c:pt idx="9">
                  <c:v>-3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24</c:v>
                </c:pt>
                <c:pt idx="19">
                  <c:v>27</c:v>
                </c:pt>
                <c:pt idx="20">
                  <c:v>30</c:v>
                </c:pt>
                <c:pt idx="21">
                  <c:v>33</c:v>
                </c:pt>
              </c:numCache>
            </c:numRef>
          </c:xVal>
          <c:yVal>
            <c:numRef>
              <c:f>Dynamic_Range!$I$13:$AD$13</c:f>
              <c:numCache>
                <c:formatCode>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Dynamic_Range!$D$9</c:f>
              <c:strCache>
                <c:ptCount val="1"/>
                <c:pt idx="0">
                  <c:v>JayBird Release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Dynamic_Range!$I$5:$AD$5</c:f>
              <c:numCache>
                <c:formatCode>General</c:formatCode>
                <c:ptCount val="22"/>
                <c:pt idx="0">
                  <c:v>-30</c:v>
                </c:pt>
                <c:pt idx="1">
                  <c:v>-27</c:v>
                </c:pt>
                <c:pt idx="2">
                  <c:v>-24</c:v>
                </c:pt>
                <c:pt idx="3">
                  <c:v>-21</c:v>
                </c:pt>
                <c:pt idx="4">
                  <c:v>-18</c:v>
                </c:pt>
                <c:pt idx="5">
                  <c:v>-15</c:v>
                </c:pt>
                <c:pt idx="6">
                  <c:v>-12</c:v>
                </c:pt>
                <c:pt idx="7">
                  <c:v>-9</c:v>
                </c:pt>
                <c:pt idx="8">
                  <c:v>-6</c:v>
                </c:pt>
                <c:pt idx="9">
                  <c:v>-3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24</c:v>
                </c:pt>
                <c:pt idx="19">
                  <c:v>27</c:v>
                </c:pt>
                <c:pt idx="20">
                  <c:v>30</c:v>
                </c:pt>
                <c:pt idx="21">
                  <c:v>33</c:v>
                </c:pt>
              </c:numCache>
            </c:numRef>
          </c:xVal>
          <c:yVal>
            <c:numRef>
              <c:f>Dynamic_Range!$I$14:$AD$14</c:f>
              <c:numCache>
                <c:formatCode>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80864"/>
        <c:axId val="130984312"/>
      </c:scatterChart>
      <c:valAx>
        <c:axId val="260380864"/>
        <c:scaling>
          <c:orientation val="minMax"/>
          <c:max val="33"/>
          <c:min val="-36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Signal</a:t>
                </a:r>
                <a:r>
                  <a:rPr lang="en-US" baseline="0"/>
                  <a:t> Gain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30984312"/>
        <c:crosses val="autoZero"/>
        <c:crossBetween val="midCat"/>
        <c:majorUnit val="3"/>
        <c:minorUnit val="3"/>
      </c:valAx>
      <c:valAx>
        <c:axId val="130984312"/>
        <c:scaling>
          <c:orientation val="minMax"/>
          <c:max val="1.02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Recognition Rate</a:t>
                </a:r>
              </a:p>
            </c:rich>
          </c:tx>
          <c:layout>
            <c:manualLayout>
              <c:xMode val="edge"/>
              <c:yMode val="edge"/>
              <c:x val="1.4997477848526789E-2"/>
              <c:y val="0.18989323939834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6038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56164142494575"/>
          <c:y val="0.14136984955979612"/>
          <c:w val="0.10034253344642692"/>
          <c:h val="0.518819524672117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ASR Recognition </a:t>
            </a:r>
            <a:r>
              <a:rPr lang="en-US" baseline="0"/>
              <a:t>depend on noise type and intensity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4.2405022691919113E-2"/>
          <c:y val="0.10921672555948174"/>
          <c:w val="0.7750423635945709"/>
          <c:h val="0.8172113092753865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'FR SNR'!$P$7</c:f>
              <c:strCache>
                <c:ptCount val="1"/>
                <c:pt idx="0">
                  <c:v>car80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3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SNR'!$R$7:$AB$7</c:f>
              <c:numCache>
                <c:formatCode>0%</c:formatCode>
                <c:ptCount val="11"/>
              </c:numCache>
            </c:numRef>
          </c:yVal>
          <c:smooth val="1"/>
        </c:ser>
        <c:ser>
          <c:idx val="3"/>
          <c:order val="1"/>
          <c:tx>
            <c:strRef>
              <c:f>'FR SNR'!$P$8</c:f>
              <c:strCache>
                <c:ptCount val="1"/>
                <c:pt idx="0">
                  <c:v>office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SNR'!$R$8:$AB$8</c:f>
              <c:numCache>
                <c:formatCode>0%</c:formatCode>
                <c:ptCount val="11"/>
              </c:numCache>
            </c:numRef>
          </c:yVal>
          <c:smooth val="1"/>
        </c:ser>
        <c:ser>
          <c:idx val="4"/>
          <c:order val="2"/>
          <c:tx>
            <c:strRef>
              <c:f>'FR SNR'!$P$9</c:f>
              <c:strCache>
                <c:ptCount val="1"/>
                <c:pt idx="0">
                  <c:v>street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5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SNR'!$R$9:$AB$9</c:f>
              <c:numCache>
                <c:formatCode>0%</c:formatCode>
                <c:ptCount val="11"/>
              </c:numCache>
            </c:numRef>
          </c:yVal>
          <c:smooth val="1"/>
        </c:ser>
        <c:ser>
          <c:idx val="1"/>
          <c:order val="3"/>
          <c:tx>
            <c:strRef>
              <c:f>'FR SNR'!$P$10</c:f>
              <c:strCache>
                <c:ptCount val="1"/>
                <c:pt idx="0">
                  <c:v>cafeteria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2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SNR'!$R$10:$AB$10</c:f>
              <c:numCache>
                <c:formatCode>0%</c:formatCode>
                <c:ptCount val="11"/>
              </c:numCache>
            </c:numRef>
          </c:yVal>
          <c:smooth val="1"/>
        </c:ser>
        <c:ser>
          <c:idx val="0"/>
          <c:order val="4"/>
          <c:tx>
            <c:strRef>
              <c:f>'FR SNR'!$P$11</c:f>
              <c:strCache>
                <c:ptCount val="1"/>
                <c:pt idx="0">
                  <c:v>babble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1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SNR'!$R$11:$AB$11</c:f>
              <c:numCache>
                <c:formatCode>0%</c:formatCode>
                <c:ptCount val="11"/>
              </c:numCache>
            </c:numRef>
          </c:yVal>
          <c:smooth val="1"/>
        </c:ser>
        <c:ser>
          <c:idx val="5"/>
          <c:order val="5"/>
          <c:tx>
            <c:strRef>
              <c:f>'FR SNR'!$P$12</c:f>
              <c:strCache>
                <c:ptCount val="1"/>
                <c:pt idx="0">
                  <c:v>Crossroads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6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'FR SNR'!$R$12:$AB$12</c:f>
              <c:numCache>
                <c:formatCode>0%</c:formatCode>
                <c:ptCount val="11"/>
              </c:numCache>
            </c:numRef>
          </c:yVal>
          <c:smooth val="1"/>
        </c:ser>
        <c:ser>
          <c:idx val="6"/>
          <c:order val="6"/>
          <c:tx>
            <c:strRef>
              <c:f>'[1]FR SNR'!$P$13</c:f>
              <c:strCache>
                <c:ptCount val="1"/>
                <c:pt idx="0">
                  <c:v>wind_2ms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1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'[1]FR SNR'!$R$13:$AB$13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'[1]FR SNR'!$P$14</c:f>
              <c:strCache>
                <c:ptCount val="1"/>
                <c:pt idx="0">
                  <c:v>wind_3ms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2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'[1]FR SNR'!$R$14:$AB$14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'[1]FR SNR'!$P$15</c:f>
              <c:strCache>
                <c:ptCount val="1"/>
                <c:pt idx="0">
                  <c:v>wind_4ms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3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'[1]FR SNR'!$R$15:$AB$15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'[1]FR SNR'!$P$16</c:f>
              <c:strCache>
                <c:ptCount val="1"/>
                <c:pt idx="0">
                  <c:v>wind_5ms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4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SNR'!$R$6:$AB$6</c:f>
              <c:numCache>
                <c:formatCode>General</c:formatCode>
                <c:ptCount val="11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'[1]FR SNR'!$R$16:$AB$16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82040"/>
        <c:axId val="185023304"/>
      </c:scatterChart>
      <c:valAx>
        <c:axId val="260382040"/>
        <c:scaling>
          <c:orientation val="minMax"/>
          <c:max val="30"/>
          <c:min val="-2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 intensity in dB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85023304"/>
        <c:crosses val="autoZero"/>
        <c:crossBetween val="midCat"/>
      </c:valAx>
      <c:valAx>
        <c:axId val="185023304"/>
        <c:scaling>
          <c:orientation val="minMax"/>
          <c:max val="1.02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Identifications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60382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Trigger </a:t>
            </a:r>
            <a:r>
              <a:rPr lang="en-US" baseline="0"/>
              <a:t>depend on noise type and intensity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4.2405022691919113E-2"/>
          <c:y val="0.10921672555948174"/>
          <c:w val="0.7750423635945709"/>
          <c:h val="0.8172113092753865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'FR SNR'!$B$7</c:f>
              <c:strCache>
                <c:ptCount val="1"/>
                <c:pt idx="0">
                  <c:v>car80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3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SNR'!$D$6:$L$6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'FR SNR'!$D$7:$L$7</c:f>
              <c:numCache>
                <c:formatCode>0%</c:formatCode>
                <c:ptCount val="9"/>
              </c:numCache>
            </c:numRef>
          </c:yVal>
          <c:smooth val="1"/>
        </c:ser>
        <c:ser>
          <c:idx val="3"/>
          <c:order val="1"/>
          <c:tx>
            <c:strRef>
              <c:f>'FR SNR'!$B$8</c:f>
              <c:strCache>
                <c:ptCount val="1"/>
                <c:pt idx="0">
                  <c:v>office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'FR SNR'!$D$8:$M$8</c:f>
              <c:numCache>
                <c:formatCode>0%</c:formatCode>
                <c:ptCount val="10"/>
              </c:numCache>
            </c:numRef>
          </c:yVal>
          <c:smooth val="1"/>
        </c:ser>
        <c:ser>
          <c:idx val="4"/>
          <c:order val="2"/>
          <c:tx>
            <c:strRef>
              <c:f>'FR SNR'!$B$9</c:f>
              <c:strCache>
                <c:ptCount val="1"/>
                <c:pt idx="0">
                  <c:v>street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5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'FR SNR'!$D$9:$M$9</c:f>
              <c:numCache>
                <c:formatCode>0%</c:formatCode>
                <c:ptCount val="10"/>
              </c:numCache>
            </c:numRef>
          </c:yVal>
          <c:smooth val="1"/>
        </c:ser>
        <c:ser>
          <c:idx val="1"/>
          <c:order val="3"/>
          <c:tx>
            <c:strRef>
              <c:f>'FR SNR'!$B$10</c:f>
              <c:strCache>
                <c:ptCount val="1"/>
                <c:pt idx="0">
                  <c:v>cafeteria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2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'FR SNR'!$D$10:$M$10</c:f>
              <c:numCache>
                <c:formatCode>0%</c:formatCode>
                <c:ptCount val="10"/>
              </c:numCache>
            </c:numRef>
          </c:yVal>
          <c:smooth val="1"/>
        </c:ser>
        <c:ser>
          <c:idx val="0"/>
          <c:order val="4"/>
          <c:tx>
            <c:strRef>
              <c:f>'FR SNR'!$B$11</c:f>
              <c:strCache>
                <c:ptCount val="1"/>
                <c:pt idx="0">
                  <c:v>babble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1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SNR'!$D$6:$J$6</c:f>
              <c:numCache>
                <c:formatCode>General</c:formatCode>
                <c:ptCount val="7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</c:numCache>
            </c:numRef>
          </c:xVal>
          <c:yVal>
            <c:numRef>
              <c:f>'FR SNR'!$D$11:$J$11</c:f>
              <c:numCache>
                <c:formatCode>0%</c:formatCode>
                <c:ptCount val="7"/>
              </c:numCache>
            </c:numRef>
          </c:yVal>
          <c:smooth val="1"/>
        </c:ser>
        <c:ser>
          <c:idx val="5"/>
          <c:order val="5"/>
          <c:tx>
            <c:strRef>
              <c:f>'FR SNR'!$B$12</c:f>
              <c:strCache>
                <c:ptCount val="1"/>
                <c:pt idx="0">
                  <c:v>Crossroads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6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'FR SNR'!$D$12:$J$12</c:f>
              <c:numCache>
                <c:formatCode>0%</c:formatCode>
                <c:ptCount val="7"/>
              </c:numCache>
            </c:numRef>
          </c:yVal>
          <c:smooth val="1"/>
        </c:ser>
        <c:ser>
          <c:idx val="6"/>
          <c:order val="6"/>
          <c:tx>
            <c:strRef>
              <c:f>'[1]FR SNR'!$B$13</c:f>
              <c:strCache>
                <c:ptCount val="1"/>
                <c:pt idx="0">
                  <c:v>wind_2ms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1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'[1]FR SNR'!$D$13:$M$13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'[1]FR SNR'!$B$14</c:f>
              <c:strCache>
                <c:ptCount val="1"/>
                <c:pt idx="0">
                  <c:v>wind_3ms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2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SNR'!$D$6:$M$6</c:f>
              <c:numCache>
                <c:formatCode>General</c:formatCode>
                <c:ptCount val="10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</c:numCache>
            </c:numRef>
          </c:xVal>
          <c:yVal>
            <c:numRef>
              <c:f>'[1]FR SNR'!$D$14:$M$14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'[1]FR SNR'!$B$15</c:f>
              <c:strCache>
                <c:ptCount val="1"/>
                <c:pt idx="0">
                  <c:v>wind_4ms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3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SNR'!$D$6:$J$6</c:f>
              <c:numCache>
                <c:formatCode>General</c:formatCode>
                <c:ptCount val="7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</c:numCache>
            </c:numRef>
          </c:xVal>
          <c:yVal>
            <c:numRef>
              <c:f>'[1]FR SNR'!$D$15:$J$15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'[1]FR SNR'!$B$16</c:f>
              <c:strCache>
                <c:ptCount val="1"/>
                <c:pt idx="0">
                  <c:v>wind_5ms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>
                  <a:schemeClr val="accent4">
                    <a:lumMod val="60000"/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'[1]FR SNR'!$D$6:$I$6</c:f>
              <c:numCache>
                <c:formatCode>General</c:formatCode>
                <c:ptCount val="6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</c:numCache>
            </c:numRef>
          </c:xVal>
          <c:yVal>
            <c:numRef>
              <c:f>'[1]FR SNR'!$D$16:$I$16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40552"/>
        <c:axId val="259040944"/>
      </c:scatterChart>
      <c:valAx>
        <c:axId val="259040552"/>
        <c:scaling>
          <c:orientation val="minMax"/>
          <c:max val="30"/>
          <c:min val="-2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 intensity in dB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59040944"/>
        <c:crosses val="autoZero"/>
        <c:crossBetween val="midCat"/>
      </c:valAx>
      <c:valAx>
        <c:axId val="259040944"/>
        <c:scaling>
          <c:orientation val="minMax"/>
          <c:max val="1.02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Identifications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59040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571500</xdr:colOff>
      <xdr:row>19</xdr:row>
      <xdr:rowOff>76200</xdr:rowOff>
    </xdr:from>
    <xdr:to>
      <xdr:col>54</xdr:col>
      <xdr:colOff>379095</xdr:colOff>
      <xdr:row>40</xdr:row>
      <xdr:rowOff>97155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742950</xdr:colOff>
      <xdr:row>19</xdr:row>
      <xdr:rowOff>152399</xdr:rowOff>
    </xdr:from>
    <xdr:to>
      <xdr:col>24</xdr:col>
      <xdr:colOff>243840</xdr:colOff>
      <xdr:row>32</xdr:row>
      <xdr:rowOff>137160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9526</xdr:colOff>
      <xdr:row>17</xdr:row>
      <xdr:rowOff>10886</xdr:rowOff>
    </xdr:from>
    <xdr:to>
      <xdr:col>28</xdr:col>
      <xdr:colOff>54429</xdr:colOff>
      <xdr:row>40</xdr:row>
      <xdr:rowOff>83276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370115</xdr:colOff>
      <xdr:row>17</xdr:row>
      <xdr:rowOff>32657</xdr:rowOff>
    </xdr:from>
    <xdr:to>
      <xdr:col>14</xdr:col>
      <xdr:colOff>131990</xdr:colOff>
      <xdr:row>40</xdr:row>
      <xdr:rowOff>105047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.RUBIDIUM/Desktop/CSR_Fitness_A2DP_Trigger_JayBird_testscrip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Stats"/>
      <sheetName val="FR SNR"/>
      <sheetName val="TRIG_Dynamic Range"/>
      <sheetName val="TRIG_FA_final"/>
      <sheetName val="TRIG_Details"/>
      <sheetName val="TRIG_Dynamic Range 30 files"/>
    </sheetNames>
    <sheetDataSet>
      <sheetData sheetId="0"/>
      <sheetData sheetId="1">
        <row r="6">
          <cell r="D6">
            <v>-20</v>
          </cell>
          <cell r="E6">
            <v>-15</v>
          </cell>
          <cell r="F6">
            <v>-10</v>
          </cell>
          <cell r="G6">
            <v>-5</v>
          </cell>
          <cell r="H6">
            <v>0</v>
          </cell>
          <cell r="I6">
            <v>5</v>
          </cell>
          <cell r="J6">
            <v>10</v>
          </cell>
          <cell r="K6">
            <v>15</v>
          </cell>
          <cell r="L6">
            <v>20</v>
          </cell>
          <cell r="M6">
            <v>25</v>
          </cell>
          <cell r="R6">
            <v>-20</v>
          </cell>
          <cell r="S6">
            <v>-15</v>
          </cell>
          <cell r="T6">
            <v>-10</v>
          </cell>
          <cell r="U6">
            <v>-5</v>
          </cell>
          <cell r="V6">
            <v>0</v>
          </cell>
          <cell r="W6">
            <v>5</v>
          </cell>
          <cell r="X6">
            <v>10</v>
          </cell>
          <cell r="Y6">
            <v>15</v>
          </cell>
          <cell r="Z6">
            <v>20</v>
          </cell>
          <cell r="AA6">
            <v>25</v>
          </cell>
          <cell r="AB6">
            <v>30</v>
          </cell>
        </row>
        <row r="13">
          <cell r="B13" t="str">
            <v>wind_2ms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P13" t="str">
            <v>wind_2ms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</row>
        <row r="14">
          <cell r="B14" t="str">
            <v>wind_3ms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P14" t="str">
            <v>wind_3ms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</row>
        <row r="15">
          <cell r="B15" t="str">
            <v>wind_4ms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P15" t="str">
            <v>wind_4ms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</row>
        <row r="16">
          <cell r="B16" t="str">
            <v>wind_5ms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P16" t="str">
            <v>wind_5ms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920"/>
  <sheetViews>
    <sheetView tabSelected="1" topLeftCell="I1" zoomScale="80" zoomScaleNormal="80" workbookViewId="0">
      <selection activeCell="AF4" sqref="AF4"/>
    </sheetView>
  </sheetViews>
  <sheetFormatPr defaultColWidth="11.375" defaultRowHeight="14.25" x14ac:dyDescent="0.2"/>
  <cols>
    <col min="1" max="1" width="11.375" style="189"/>
    <col min="2" max="2" width="57.75" style="188" customWidth="1"/>
    <col min="3" max="3" width="8.375" style="188" customWidth="1"/>
    <col min="4" max="4" width="11.375" style="189"/>
    <col min="5" max="5" width="12.375" style="188" customWidth="1"/>
    <col min="6" max="6" width="13.25" style="188" customWidth="1"/>
    <col min="7" max="10" width="11.375" style="189"/>
    <col min="11" max="11" width="13.375" style="188" customWidth="1"/>
    <col min="12" max="12" width="11.75" style="188" customWidth="1"/>
    <col min="13" max="13" width="13.125" style="188" customWidth="1"/>
    <col min="14" max="14" width="11.75" style="188" customWidth="1"/>
    <col min="15" max="15" width="13.125" style="188" customWidth="1"/>
    <col min="16" max="16" width="11.75" style="188" customWidth="1"/>
    <col min="17" max="17" width="13.125" style="188" customWidth="1"/>
    <col min="18" max="18" width="11.75" style="188" customWidth="1"/>
    <col min="19" max="19" width="13.125" style="188" customWidth="1"/>
    <col min="20" max="20" width="11.75" style="188" customWidth="1"/>
    <col min="21" max="21" width="13.125" style="188" customWidth="1"/>
    <col min="22" max="22" width="11.75" style="188" customWidth="1"/>
    <col min="23" max="23" width="13.125" style="188" customWidth="1"/>
    <col min="24" max="24" width="11.75" style="188" customWidth="1"/>
    <col min="25" max="25" width="13.125" style="188" customWidth="1"/>
    <col min="26" max="26" width="11.75" style="188" customWidth="1"/>
    <col min="27" max="27" width="13.125" style="188" customWidth="1"/>
    <col min="28" max="29" width="13.125" style="189" customWidth="1"/>
    <col min="30" max="16384" width="11.375" style="189"/>
  </cols>
  <sheetData>
    <row r="1" spans="2:29" ht="15.75" customHeight="1" thickBot="1" x14ac:dyDescent="0.25"/>
    <row r="2" spans="2:29" s="197" customFormat="1" ht="60" customHeight="1" x14ac:dyDescent="0.2">
      <c r="B2" s="190" t="s">
        <v>5</v>
      </c>
      <c r="C2" s="191" t="s">
        <v>6</v>
      </c>
      <c r="D2" s="191" t="s">
        <v>3</v>
      </c>
      <c r="E2" s="191" t="s">
        <v>7</v>
      </c>
      <c r="F2" s="191" t="s">
        <v>4</v>
      </c>
      <c r="G2" s="191" t="s">
        <v>8</v>
      </c>
      <c r="H2" s="191" t="s">
        <v>2</v>
      </c>
      <c r="I2" s="192" t="s">
        <v>15</v>
      </c>
      <c r="J2" s="192" t="s">
        <v>20</v>
      </c>
      <c r="K2" s="193" t="s">
        <v>18</v>
      </c>
      <c r="L2" s="194" t="s">
        <v>102</v>
      </c>
      <c r="M2" s="195"/>
      <c r="N2" s="194" t="s">
        <v>103</v>
      </c>
      <c r="O2" s="195"/>
      <c r="P2" s="194" t="s">
        <v>24</v>
      </c>
      <c r="Q2" s="195"/>
      <c r="R2" s="194" t="s">
        <v>22</v>
      </c>
      <c r="S2" s="195"/>
      <c r="T2" s="194" t="s">
        <v>23</v>
      </c>
      <c r="U2" s="195"/>
      <c r="V2" s="194" t="s">
        <v>16</v>
      </c>
      <c r="W2" s="195"/>
      <c r="X2" s="194" t="s">
        <v>21</v>
      </c>
      <c r="Y2" s="195"/>
      <c r="Z2" s="194" t="s">
        <v>19</v>
      </c>
      <c r="AA2" s="195"/>
      <c r="AB2" s="196" t="s">
        <v>104</v>
      </c>
      <c r="AC2" s="196" t="s">
        <v>105</v>
      </c>
    </row>
    <row r="3" spans="2:29" ht="45.75" customHeight="1" thickBot="1" x14ac:dyDescent="0.25">
      <c r="B3" s="198"/>
      <c r="C3" s="199"/>
      <c r="D3" s="199"/>
      <c r="E3" s="199"/>
      <c r="F3" s="199"/>
      <c r="G3" s="199"/>
      <c r="H3" s="199"/>
      <c r="I3" s="200"/>
      <c r="J3" s="200"/>
      <c r="K3" s="201"/>
      <c r="L3" s="202" t="s">
        <v>106</v>
      </c>
      <c r="M3" s="203" t="s">
        <v>107</v>
      </c>
      <c r="N3" s="202" t="s">
        <v>106</v>
      </c>
      <c r="O3" s="203" t="s">
        <v>107</v>
      </c>
      <c r="P3" s="202" t="s">
        <v>106</v>
      </c>
      <c r="Q3" s="203" t="s">
        <v>107</v>
      </c>
      <c r="R3" s="202" t="s">
        <v>106</v>
      </c>
      <c r="S3" s="203" t="s">
        <v>107</v>
      </c>
      <c r="T3" s="202" t="s">
        <v>106</v>
      </c>
      <c r="U3" s="203" t="s">
        <v>108</v>
      </c>
      <c r="V3" s="202" t="s">
        <v>106</v>
      </c>
      <c r="W3" s="203" t="s">
        <v>108</v>
      </c>
      <c r="X3" s="202" t="s">
        <v>106</v>
      </c>
      <c r="Y3" s="203" t="s">
        <v>107</v>
      </c>
      <c r="Z3" s="202" t="s">
        <v>106</v>
      </c>
      <c r="AA3" s="203" t="s">
        <v>107</v>
      </c>
      <c r="AB3" s="204"/>
      <c r="AC3" s="204"/>
    </row>
    <row r="4" spans="2:29" ht="35.1" customHeight="1" thickTop="1" x14ac:dyDescent="0.2">
      <c r="B4" s="205"/>
      <c r="C4" s="205"/>
      <c r="D4" s="205"/>
      <c r="E4" s="205"/>
      <c r="F4" s="205"/>
      <c r="G4" s="206"/>
      <c r="H4" s="206"/>
      <c r="I4" s="207"/>
      <c r="J4" s="208"/>
      <c r="K4" s="207"/>
      <c r="L4" s="208"/>
      <c r="M4" s="209"/>
      <c r="N4" s="208"/>
      <c r="O4" s="209"/>
      <c r="P4" s="208"/>
      <c r="Q4" s="209"/>
      <c r="R4" s="208"/>
      <c r="S4" s="209"/>
      <c r="T4" s="208"/>
      <c r="U4" s="209"/>
      <c r="V4" s="208"/>
      <c r="W4" s="209"/>
      <c r="X4" s="208"/>
      <c r="Y4" s="209"/>
      <c r="Z4" s="208"/>
      <c r="AA4" s="209"/>
      <c r="AB4" s="210" t="e">
        <f t="shared" ref="AB4:AB67" si="0">N4/I4</f>
        <v>#DIV/0!</v>
      </c>
      <c r="AC4" s="210" t="e">
        <f>X4/N4</f>
        <v>#DIV/0!</v>
      </c>
    </row>
    <row r="5" spans="2:29" ht="35.1" customHeight="1" x14ac:dyDescent="0.2">
      <c r="B5" s="211"/>
      <c r="C5" s="211"/>
      <c r="D5" s="211"/>
      <c r="E5" s="211"/>
      <c r="F5" s="212"/>
      <c r="G5" s="213"/>
      <c r="H5" s="213"/>
      <c r="I5" s="214"/>
      <c r="J5" s="215"/>
      <c r="K5" s="214"/>
      <c r="L5" s="215"/>
      <c r="M5" s="216"/>
      <c r="N5" s="215"/>
      <c r="O5" s="216"/>
      <c r="P5" s="215"/>
      <c r="Q5" s="216"/>
      <c r="R5" s="215"/>
      <c r="S5" s="216"/>
      <c r="T5" s="215"/>
      <c r="U5" s="216"/>
      <c r="V5" s="215"/>
      <c r="W5" s="216"/>
      <c r="X5" s="215"/>
      <c r="Y5" s="216"/>
      <c r="Z5" s="215"/>
      <c r="AA5" s="216"/>
      <c r="AB5" s="217" t="e">
        <f t="shared" si="0"/>
        <v>#DIV/0!</v>
      </c>
      <c r="AC5" s="210" t="e">
        <f t="shared" ref="AC5:AC68" si="1">X5/N5</f>
        <v>#DIV/0!</v>
      </c>
    </row>
    <row r="6" spans="2:29" ht="35.1" customHeight="1" x14ac:dyDescent="0.2">
      <c r="B6" s="211"/>
      <c r="C6" s="211"/>
      <c r="D6" s="211"/>
      <c r="E6" s="211"/>
      <c r="F6" s="212"/>
      <c r="G6" s="213"/>
      <c r="H6" s="213"/>
      <c r="I6" s="214"/>
      <c r="J6" s="215"/>
      <c r="K6" s="214"/>
      <c r="L6" s="215"/>
      <c r="M6" s="216"/>
      <c r="N6" s="215"/>
      <c r="O6" s="216"/>
      <c r="P6" s="215"/>
      <c r="Q6" s="216"/>
      <c r="R6" s="215"/>
      <c r="S6" s="216"/>
      <c r="T6" s="215"/>
      <c r="U6" s="216"/>
      <c r="V6" s="215"/>
      <c r="W6" s="216"/>
      <c r="X6" s="215"/>
      <c r="Y6" s="216"/>
      <c r="Z6" s="215"/>
      <c r="AA6" s="216"/>
      <c r="AB6" s="217" t="e">
        <f t="shared" si="0"/>
        <v>#DIV/0!</v>
      </c>
      <c r="AC6" s="210" t="e">
        <f t="shared" si="1"/>
        <v>#DIV/0!</v>
      </c>
    </row>
    <row r="7" spans="2:29" ht="35.1" customHeight="1" x14ac:dyDescent="0.2">
      <c r="B7" s="211"/>
      <c r="C7" s="211"/>
      <c r="D7" s="211"/>
      <c r="E7" s="211"/>
      <c r="F7" s="212"/>
      <c r="G7" s="213"/>
      <c r="H7" s="213"/>
      <c r="I7" s="214"/>
      <c r="J7" s="215"/>
      <c r="K7" s="214"/>
      <c r="L7" s="215"/>
      <c r="M7" s="216"/>
      <c r="N7" s="215"/>
      <c r="O7" s="216"/>
      <c r="P7" s="215"/>
      <c r="Q7" s="216"/>
      <c r="R7" s="215"/>
      <c r="S7" s="216"/>
      <c r="T7" s="215"/>
      <c r="U7" s="216"/>
      <c r="V7" s="215"/>
      <c r="W7" s="216"/>
      <c r="X7" s="215"/>
      <c r="Y7" s="216"/>
      <c r="Z7" s="215"/>
      <c r="AA7" s="216"/>
      <c r="AB7" s="217" t="e">
        <f t="shared" si="0"/>
        <v>#DIV/0!</v>
      </c>
      <c r="AC7" s="210" t="e">
        <f t="shared" si="1"/>
        <v>#DIV/0!</v>
      </c>
    </row>
    <row r="8" spans="2:29" ht="35.1" customHeight="1" x14ac:dyDescent="0.2">
      <c r="B8" s="211"/>
      <c r="C8" s="211"/>
      <c r="D8" s="211"/>
      <c r="E8" s="211"/>
      <c r="F8" s="212"/>
      <c r="G8" s="213"/>
      <c r="H8" s="213"/>
      <c r="I8" s="214"/>
      <c r="J8" s="215"/>
      <c r="K8" s="214"/>
      <c r="L8" s="215"/>
      <c r="M8" s="216"/>
      <c r="N8" s="215"/>
      <c r="O8" s="216"/>
      <c r="P8" s="215"/>
      <c r="Q8" s="216"/>
      <c r="R8" s="215"/>
      <c r="S8" s="216"/>
      <c r="T8" s="215"/>
      <c r="U8" s="216"/>
      <c r="V8" s="215"/>
      <c r="W8" s="216"/>
      <c r="X8" s="215"/>
      <c r="Y8" s="216"/>
      <c r="Z8" s="215"/>
      <c r="AA8" s="216"/>
      <c r="AB8" s="217" t="e">
        <f t="shared" si="0"/>
        <v>#DIV/0!</v>
      </c>
      <c r="AC8" s="210" t="e">
        <f t="shared" si="1"/>
        <v>#DIV/0!</v>
      </c>
    </row>
    <row r="9" spans="2:29" ht="47.25" customHeight="1" x14ac:dyDescent="0.2">
      <c r="B9" s="211"/>
      <c r="C9" s="211"/>
      <c r="D9" s="211"/>
      <c r="E9" s="211"/>
      <c r="F9" s="212"/>
      <c r="G9" s="213"/>
      <c r="H9" s="213"/>
      <c r="I9" s="214"/>
      <c r="J9" s="215"/>
      <c r="K9" s="214"/>
      <c r="L9" s="215"/>
      <c r="M9" s="216"/>
      <c r="N9" s="215"/>
      <c r="O9" s="216"/>
      <c r="P9" s="215"/>
      <c r="Q9" s="216"/>
      <c r="R9" s="215"/>
      <c r="S9" s="216"/>
      <c r="T9" s="215"/>
      <c r="U9" s="216"/>
      <c r="V9" s="215"/>
      <c r="W9" s="216"/>
      <c r="X9" s="215"/>
      <c r="Y9" s="216"/>
      <c r="Z9" s="215"/>
      <c r="AA9" s="216"/>
      <c r="AB9" s="217" t="e">
        <f t="shared" si="0"/>
        <v>#DIV/0!</v>
      </c>
      <c r="AC9" s="210" t="e">
        <f t="shared" si="1"/>
        <v>#DIV/0!</v>
      </c>
    </row>
    <row r="10" spans="2:29" ht="35.1" customHeight="1" thickBot="1" x14ac:dyDescent="0.25">
      <c r="B10" s="218"/>
      <c r="C10" s="218"/>
      <c r="D10" s="218"/>
      <c r="E10" s="218"/>
      <c r="F10" s="219"/>
      <c r="G10" s="220"/>
      <c r="H10" s="220"/>
      <c r="I10" s="221"/>
      <c r="J10" s="222"/>
      <c r="K10" s="221"/>
      <c r="L10" s="222"/>
      <c r="M10" s="223"/>
      <c r="N10" s="222"/>
      <c r="O10" s="223"/>
      <c r="P10" s="222"/>
      <c r="Q10" s="223"/>
      <c r="R10" s="222"/>
      <c r="S10" s="223"/>
      <c r="T10" s="222"/>
      <c r="U10" s="223"/>
      <c r="V10" s="222"/>
      <c r="W10" s="223"/>
      <c r="X10" s="222"/>
      <c r="Y10" s="223"/>
      <c r="Z10" s="222"/>
      <c r="AA10" s="223"/>
      <c r="AB10" s="217" t="e">
        <f t="shared" si="0"/>
        <v>#DIV/0!</v>
      </c>
      <c r="AC10" s="210" t="e">
        <f t="shared" si="1"/>
        <v>#DIV/0!</v>
      </c>
    </row>
    <row r="11" spans="2:29" ht="35.1" customHeight="1" thickTop="1" x14ac:dyDescent="0.2">
      <c r="B11" s="205"/>
      <c r="C11" s="205"/>
      <c r="D11" s="205"/>
      <c r="E11" s="205"/>
      <c r="F11" s="205"/>
      <c r="G11" s="206"/>
      <c r="H11" s="206"/>
      <c r="I11" s="207"/>
      <c r="J11" s="208"/>
      <c r="K11" s="207"/>
      <c r="L11" s="208"/>
      <c r="M11" s="209"/>
      <c r="N11" s="208"/>
      <c r="O11" s="209"/>
      <c r="P11" s="208"/>
      <c r="Q11" s="209"/>
      <c r="R11" s="208"/>
      <c r="S11" s="209"/>
      <c r="T11" s="208"/>
      <c r="U11" s="209"/>
      <c r="V11" s="208"/>
      <c r="W11" s="209"/>
      <c r="X11" s="208"/>
      <c r="Y11" s="209"/>
      <c r="Z11" s="208"/>
      <c r="AA11" s="209"/>
      <c r="AB11" s="217" t="e">
        <f t="shared" si="0"/>
        <v>#DIV/0!</v>
      </c>
      <c r="AC11" s="210" t="e">
        <f t="shared" si="1"/>
        <v>#DIV/0!</v>
      </c>
    </row>
    <row r="12" spans="2:29" ht="35.1" customHeight="1" x14ac:dyDescent="0.2">
      <c r="B12" s="211"/>
      <c r="C12" s="211"/>
      <c r="D12" s="211"/>
      <c r="E12" s="211"/>
      <c r="F12" s="212"/>
      <c r="G12" s="213"/>
      <c r="H12" s="213"/>
      <c r="I12" s="214"/>
      <c r="J12" s="215"/>
      <c r="K12" s="214"/>
      <c r="L12" s="215"/>
      <c r="M12" s="216"/>
      <c r="N12" s="215"/>
      <c r="O12" s="216"/>
      <c r="P12" s="215"/>
      <c r="Q12" s="216"/>
      <c r="R12" s="215"/>
      <c r="S12" s="216"/>
      <c r="T12" s="215"/>
      <c r="U12" s="216"/>
      <c r="V12" s="215"/>
      <c r="W12" s="216"/>
      <c r="X12" s="215"/>
      <c r="Y12" s="216"/>
      <c r="Z12" s="215"/>
      <c r="AA12" s="216"/>
      <c r="AB12" s="217" t="e">
        <f t="shared" si="0"/>
        <v>#DIV/0!</v>
      </c>
      <c r="AC12" s="210" t="e">
        <f t="shared" si="1"/>
        <v>#DIV/0!</v>
      </c>
    </row>
    <row r="13" spans="2:29" ht="35.1" customHeight="1" x14ac:dyDescent="0.2">
      <c r="B13" s="211"/>
      <c r="C13" s="211"/>
      <c r="D13" s="211"/>
      <c r="E13" s="211"/>
      <c r="F13" s="212"/>
      <c r="G13" s="213"/>
      <c r="H13" s="213"/>
      <c r="I13" s="214"/>
      <c r="J13" s="215"/>
      <c r="K13" s="214"/>
      <c r="L13" s="215"/>
      <c r="M13" s="216"/>
      <c r="N13" s="215"/>
      <c r="O13" s="216"/>
      <c r="P13" s="215"/>
      <c r="Q13" s="216"/>
      <c r="R13" s="215"/>
      <c r="S13" s="216"/>
      <c r="T13" s="215"/>
      <c r="U13" s="216"/>
      <c r="V13" s="215"/>
      <c r="W13" s="216"/>
      <c r="X13" s="215"/>
      <c r="Y13" s="216"/>
      <c r="Z13" s="215"/>
      <c r="AA13" s="216"/>
      <c r="AB13" s="217" t="e">
        <f t="shared" si="0"/>
        <v>#DIV/0!</v>
      </c>
      <c r="AC13" s="210" t="e">
        <f t="shared" si="1"/>
        <v>#DIV/0!</v>
      </c>
    </row>
    <row r="14" spans="2:29" ht="35.1" customHeight="1" x14ac:dyDescent="0.2">
      <c r="B14" s="211"/>
      <c r="C14" s="211"/>
      <c r="D14" s="211"/>
      <c r="E14" s="211"/>
      <c r="F14" s="212"/>
      <c r="G14" s="213"/>
      <c r="H14" s="213"/>
      <c r="I14" s="214"/>
      <c r="J14" s="215"/>
      <c r="K14" s="214"/>
      <c r="L14" s="215"/>
      <c r="M14" s="216"/>
      <c r="N14" s="215"/>
      <c r="O14" s="216"/>
      <c r="P14" s="215"/>
      <c r="Q14" s="216"/>
      <c r="R14" s="215"/>
      <c r="S14" s="216"/>
      <c r="T14" s="215"/>
      <c r="U14" s="216"/>
      <c r="V14" s="215"/>
      <c r="W14" s="216"/>
      <c r="X14" s="215"/>
      <c r="Y14" s="216"/>
      <c r="Z14" s="215"/>
      <c r="AA14" s="216"/>
      <c r="AB14" s="217" t="e">
        <f t="shared" si="0"/>
        <v>#DIV/0!</v>
      </c>
      <c r="AC14" s="210" t="e">
        <f t="shared" si="1"/>
        <v>#DIV/0!</v>
      </c>
    </row>
    <row r="15" spans="2:29" ht="35.1" customHeight="1" x14ac:dyDescent="0.2">
      <c r="B15" s="211"/>
      <c r="C15" s="211"/>
      <c r="D15" s="211"/>
      <c r="E15" s="211"/>
      <c r="F15" s="212"/>
      <c r="G15" s="213"/>
      <c r="H15" s="213"/>
      <c r="I15" s="214"/>
      <c r="J15" s="215"/>
      <c r="K15" s="214"/>
      <c r="L15" s="215"/>
      <c r="M15" s="216"/>
      <c r="N15" s="215"/>
      <c r="O15" s="216"/>
      <c r="P15" s="215"/>
      <c r="Q15" s="216"/>
      <c r="R15" s="215"/>
      <c r="S15" s="216"/>
      <c r="T15" s="215"/>
      <c r="U15" s="216"/>
      <c r="V15" s="215"/>
      <c r="W15" s="216"/>
      <c r="X15" s="215"/>
      <c r="Y15" s="216"/>
      <c r="Z15" s="215"/>
      <c r="AA15" s="216"/>
      <c r="AB15" s="217" t="e">
        <f t="shared" si="0"/>
        <v>#DIV/0!</v>
      </c>
      <c r="AC15" s="210" t="e">
        <f t="shared" si="1"/>
        <v>#DIV/0!</v>
      </c>
    </row>
    <row r="16" spans="2:29" ht="47.25" customHeight="1" x14ac:dyDescent="0.2">
      <c r="B16" s="211"/>
      <c r="C16" s="211"/>
      <c r="D16" s="211"/>
      <c r="E16" s="211"/>
      <c r="F16" s="212"/>
      <c r="G16" s="213"/>
      <c r="H16" s="213"/>
      <c r="I16" s="214"/>
      <c r="J16" s="215"/>
      <c r="K16" s="214"/>
      <c r="L16" s="215"/>
      <c r="M16" s="216"/>
      <c r="N16" s="215"/>
      <c r="O16" s="216"/>
      <c r="P16" s="215"/>
      <c r="Q16" s="216"/>
      <c r="R16" s="215"/>
      <c r="S16" s="216"/>
      <c r="T16" s="215"/>
      <c r="U16" s="216"/>
      <c r="V16" s="215"/>
      <c r="W16" s="216"/>
      <c r="X16" s="215"/>
      <c r="Y16" s="216"/>
      <c r="Z16" s="215"/>
      <c r="AA16" s="216"/>
      <c r="AB16" s="217" t="e">
        <f t="shared" si="0"/>
        <v>#DIV/0!</v>
      </c>
      <c r="AC16" s="210" t="e">
        <f t="shared" si="1"/>
        <v>#DIV/0!</v>
      </c>
    </row>
    <row r="17" spans="2:29" ht="35.1" customHeight="1" thickBot="1" x14ac:dyDescent="0.25">
      <c r="B17" s="218"/>
      <c r="C17" s="218"/>
      <c r="D17" s="218"/>
      <c r="E17" s="218"/>
      <c r="F17" s="219"/>
      <c r="G17" s="220"/>
      <c r="H17" s="220"/>
      <c r="I17" s="221"/>
      <c r="J17" s="222"/>
      <c r="K17" s="221"/>
      <c r="L17" s="222"/>
      <c r="M17" s="223"/>
      <c r="N17" s="222"/>
      <c r="O17" s="223"/>
      <c r="P17" s="222"/>
      <c r="Q17" s="223"/>
      <c r="R17" s="222"/>
      <c r="S17" s="223"/>
      <c r="T17" s="222"/>
      <c r="U17" s="223"/>
      <c r="V17" s="222"/>
      <c r="W17" s="223"/>
      <c r="X17" s="222"/>
      <c r="Y17" s="223"/>
      <c r="Z17" s="222"/>
      <c r="AA17" s="223"/>
      <c r="AB17" s="217" t="e">
        <f t="shared" si="0"/>
        <v>#DIV/0!</v>
      </c>
      <c r="AC17" s="210" t="e">
        <f t="shared" si="1"/>
        <v>#DIV/0!</v>
      </c>
    </row>
    <row r="18" spans="2:29" ht="35.1" customHeight="1" thickTop="1" x14ac:dyDescent="0.2">
      <c r="B18" s="205"/>
      <c r="C18" s="205"/>
      <c r="D18" s="205"/>
      <c r="E18" s="205"/>
      <c r="F18" s="205"/>
      <c r="G18" s="206"/>
      <c r="H18" s="206"/>
      <c r="I18" s="207"/>
      <c r="J18" s="208"/>
      <c r="K18" s="207"/>
      <c r="L18" s="208"/>
      <c r="M18" s="209"/>
      <c r="N18" s="208"/>
      <c r="O18" s="209"/>
      <c r="P18" s="208"/>
      <c r="Q18" s="209"/>
      <c r="R18" s="208"/>
      <c r="S18" s="209"/>
      <c r="T18" s="208"/>
      <c r="U18" s="209"/>
      <c r="V18" s="208"/>
      <c r="W18" s="209"/>
      <c r="X18" s="208"/>
      <c r="Y18" s="209"/>
      <c r="Z18" s="208"/>
      <c r="AA18" s="209"/>
      <c r="AB18" s="217" t="e">
        <f t="shared" si="0"/>
        <v>#DIV/0!</v>
      </c>
      <c r="AC18" s="210" t="e">
        <f t="shared" si="1"/>
        <v>#DIV/0!</v>
      </c>
    </row>
    <row r="19" spans="2:29" ht="35.1" customHeight="1" x14ac:dyDescent="0.2">
      <c r="B19" s="211"/>
      <c r="C19" s="211"/>
      <c r="D19" s="211"/>
      <c r="E19" s="211"/>
      <c r="F19" s="212"/>
      <c r="G19" s="213"/>
      <c r="H19" s="213"/>
      <c r="I19" s="214"/>
      <c r="J19" s="215"/>
      <c r="K19" s="214"/>
      <c r="L19" s="215"/>
      <c r="M19" s="216"/>
      <c r="N19" s="215"/>
      <c r="O19" s="216"/>
      <c r="P19" s="215"/>
      <c r="Q19" s="216"/>
      <c r="R19" s="215"/>
      <c r="S19" s="216"/>
      <c r="T19" s="215"/>
      <c r="U19" s="216"/>
      <c r="V19" s="215"/>
      <c r="W19" s="216"/>
      <c r="X19" s="215"/>
      <c r="Y19" s="216"/>
      <c r="Z19" s="215"/>
      <c r="AA19" s="216"/>
      <c r="AB19" s="217" t="e">
        <f t="shared" si="0"/>
        <v>#DIV/0!</v>
      </c>
      <c r="AC19" s="210" t="e">
        <f t="shared" si="1"/>
        <v>#DIV/0!</v>
      </c>
    </row>
    <row r="20" spans="2:29" ht="35.1" customHeight="1" x14ac:dyDescent="0.2">
      <c r="B20" s="211"/>
      <c r="C20" s="211"/>
      <c r="D20" s="211"/>
      <c r="E20" s="211"/>
      <c r="F20" s="212"/>
      <c r="G20" s="213"/>
      <c r="H20" s="213"/>
      <c r="I20" s="214"/>
      <c r="J20" s="215"/>
      <c r="K20" s="214"/>
      <c r="L20" s="215"/>
      <c r="M20" s="216"/>
      <c r="N20" s="215"/>
      <c r="O20" s="216"/>
      <c r="P20" s="215"/>
      <c r="Q20" s="216"/>
      <c r="R20" s="215"/>
      <c r="S20" s="216"/>
      <c r="T20" s="215"/>
      <c r="U20" s="216"/>
      <c r="V20" s="215"/>
      <c r="W20" s="216"/>
      <c r="X20" s="215"/>
      <c r="Y20" s="216"/>
      <c r="Z20" s="215"/>
      <c r="AA20" s="216"/>
      <c r="AB20" s="217" t="e">
        <f t="shared" si="0"/>
        <v>#DIV/0!</v>
      </c>
      <c r="AC20" s="210" t="e">
        <f t="shared" si="1"/>
        <v>#DIV/0!</v>
      </c>
    </row>
    <row r="21" spans="2:29" ht="35.1" customHeight="1" x14ac:dyDescent="0.2">
      <c r="B21" s="211"/>
      <c r="C21" s="211"/>
      <c r="D21" s="211"/>
      <c r="E21" s="211"/>
      <c r="F21" s="212"/>
      <c r="G21" s="213"/>
      <c r="H21" s="213"/>
      <c r="I21" s="214"/>
      <c r="J21" s="215"/>
      <c r="K21" s="214"/>
      <c r="L21" s="215"/>
      <c r="M21" s="216"/>
      <c r="N21" s="215"/>
      <c r="O21" s="216"/>
      <c r="P21" s="215"/>
      <c r="Q21" s="216"/>
      <c r="R21" s="215"/>
      <c r="S21" s="216"/>
      <c r="T21" s="215"/>
      <c r="U21" s="216"/>
      <c r="V21" s="215"/>
      <c r="W21" s="216"/>
      <c r="X21" s="215"/>
      <c r="Y21" s="216"/>
      <c r="Z21" s="215"/>
      <c r="AA21" s="216"/>
      <c r="AB21" s="217" t="e">
        <f t="shared" si="0"/>
        <v>#DIV/0!</v>
      </c>
      <c r="AC21" s="210" t="e">
        <f t="shared" si="1"/>
        <v>#DIV/0!</v>
      </c>
    </row>
    <row r="22" spans="2:29" ht="35.1" customHeight="1" x14ac:dyDescent="0.2">
      <c r="B22" s="211"/>
      <c r="C22" s="211"/>
      <c r="D22" s="211"/>
      <c r="E22" s="211"/>
      <c r="F22" s="212"/>
      <c r="G22" s="213"/>
      <c r="H22" s="213"/>
      <c r="I22" s="214"/>
      <c r="J22" s="215"/>
      <c r="K22" s="214"/>
      <c r="L22" s="215"/>
      <c r="M22" s="216"/>
      <c r="N22" s="215"/>
      <c r="O22" s="216"/>
      <c r="P22" s="215"/>
      <c r="Q22" s="216"/>
      <c r="R22" s="215"/>
      <c r="S22" s="216"/>
      <c r="T22" s="215"/>
      <c r="U22" s="216"/>
      <c r="V22" s="215"/>
      <c r="W22" s="216"/>
      <c r="X22" s="215"/>
      <c r="Y22" s="216"/>
      <c r="Z22" s="215"/>
      <c r="AA22" s="216"/>
      <c r="AB22" s="217" t="e">
        <f t="shared" si="0"/>
        <v>#DIV/0!</v>
      </c>
      <c r="AC22" s="210" t="e">
        <f t="shared" si="1"/>
        <v>#DIV/0!</v>
      </c>
    </row>
    <row r="23" spans="2:29" ht="47.25" customHeight="1" x14ac:dyDescent="0.2">
      <c r="B23" s="211"/>
      <c r="C23" s="211"/>
      <c r="D23" s="211"/>
      <c r="E23" s="211"/>
      <c r="F23" s="212"/>
      <c r="G23" s="213"/>
      <c r="H23" s="213"/>
      <c r="I23" s="214"/>
      <c r="J23" s="215"/>
      <c r="K23" s="214"/>
      <c r="L23" s="215"/>
      <c r="M23" s="216"/>
      <c r="N23" s="215"/>
      <c r="O23" s="216"/>
      <c r="P23" s="215"/>
      <c r="Q23" s="216"/>
      <c r="R23" s="215"/>
      <c r="S23" s="216"/>
      <c r="T23" s="215"/>
      <c r="U23" s="216"/>
      <c r="V23" s="215"/>
      <c r="W23" s="216"/>
      <c r="X23" s="215"/>
      <c r="Y23" s="216"/>
      <c r="Z23" s="215"/>
      <c r="AA23" s="216"/>
      <c r="AB23" s="217" t="e">
        <f t="shared" si="0"/>
        <v>#DIV/0!</v>
      </c>
      <c r="AC23" s="210" t="e">
        <f t="shared" si="1"/>
        <v>#DIV/0!</v>
      </c>
    </row>
    <row r="24" spans="2:29" ht="35.1" customHeight="1" thickBot="1" x14ac:dyDescent="0.25">
      <c r="B24" s="218"/>
      <c r="C24" s="218"/>
      <c r="D24" s="218"/>
      <c r="E24" s="218"/>
      <c r="F24" s="219"/>
      <c r="G24" s="220"/>
      <c r="H24" s="220"/>
      <c r="I24" s="221"/>
      <c r="J24" s="222"/>
      <c r="K24" s="221"/>
      <c r="L24" s="222"/>
      <c r="M24" s="223"/>
      <c r="N24" s="222"/>
      <c r="O24" s="223"/>
      <c r="P24" s="222"/>
      <c r="Q24" s="223"/>
      <c r="R24" s="222"/>
      <c r="S24" s="223"/>
      <c r="T24" s="222"/>
      <c r="U24" s="223"/>
      <c r="V24" s="222"/>
      <c r="W24" s="223"/>
      <c r="X24" s="222"/>
      <c r="Y24" s="223"/>
      <c r="Z24" s="222"/>
      <c r="AA24" s="223"/>
      <c r="AB24" s="217" t="e">
        <f t="shared" si="0"/>
        <v>#DIV/0!</v>
      </c>
      <c r="AC24" s="210" t="e">
        <f t="shared" si="1"/>
        <v>#DIV/0!</v>
      </c>
    </row>
    <row r="25" spans="2:29" ht="35.1" customHeight="1" thickTop="1" x14ac:dyDescent="0.2">
      <c r="B25" s="205"/>
      <c r="C25" s="205"/>
      <c r="D25" s="205"/>
      <c r="E25" s="205"/>
      <c r="F25" s="205"/>
      <c r="G25" s="206"/>
      <c r="H25" s="206"/>
      <c r="I25" s="207"/>
      <c r="J25" s="208"/>
      <c r="K25" s="207"/>
      <c r="L25" s="208"/>
      <c r="M25" s="209"/>
      <c r="N25" s="208"/>
      <c r="O25" s="209"/>
      <c r="P25" s="208"/>
      <c r="Q25" s="209"/>
      <c r="R25" s="208"/>
      <c r="S25" s="209"/>
      <c r="T25" s="208"/>
      <c r="U25" s="209"/>
      <c r="V25" s="208"/>
      <c r="W25" s="209"/>
      <c r="X25" s="208"/>
      <c r="Y25" s="209"/>
      <c r="Z25" s="208"/>
      <c r="AA25" s="209"/>
      <c r="AB25" s="217" t="e">
        <f t="shared" si="0"/>
        <v>#DIV/0!</v>
      </c>
      <c r="AC25" s="210" t="e">
        <f t="shared" si="1"/>
        <v>#DIV/0!</v>
      </c>
    </row>
    <row r="26" spans="2:29" ht="35.1" customHeight="1" x14ac:dyDescent="0.2">
      <c r="B26" s="211"/>
      <c r="C26" s="211"/>
      <c r="D26" s="211"/>
      <c r="E26" s="211"/>
      <c r="F26" s="212"/>
      <c r="G26" s="213"/>
      <c r="H26" s="213"/>
      <c r="I26" s="214"/>
      <c r="J26" s="215"/>
      <c r="K26" s="214"/>
      <c r="L26" s="215"/>
      <c r="M26" s="216"/>
      <c r="N26" s="215"/>
      <c r="O26" s="216"/>
      <c r="P26" s="215"/>
      <c r="Q26" s="216"/>
      <c r="R26" s="215"/>
      <c r="S26" s="216"/>
      <c r="T26" s="215"/>
      <c r="U26" s="216"/>
      <c r="V26" s="215"/>
      <c r="W26" s="216"/>
      <c r="X26" s="215"/>
      <c r="Y26" s="216"/>
      <c r="Z26" s="215"/>
      <c r="AA26" s="216"/>
      <c r="AB26" s="217" t="e">
        <f t="shared" si="0"/>
        <v>#DIV/0!</v>
      </c>
      <c r="AC26" s="210" t="e">
        <f t="shared" si="1"/>
        <v>#DIV/0!</v>
      </c>
    </row>
    <row r="27" spans="2:29" ht="35.1" customHeight="1" x14ac:dyDescent="0.2">
      <c r="B27" s="211"/>
      <c r="C27" s="211"/>
      <c r="D27" s="211"/>
      <c r="E27" s="211"/>
      <c r="F27" s="212"/>
      <c r="G27" s="213"/>
      <c r="H27" s="213"/>
      <c r="I27" s="214"/>
      <c r="J27" s="215"/>
      <c r="K27" s="214"/>
      <c r="L27" s="215"/>
      <c r="M27" s="216"/>
      <c r="N27" s="215"/>
      <c r="O27" s="216"/>
      <c r="P27" s="215"/>
      <c r="Q27" s="216"/>
      <c r="R27" s="215"/>
      <c r="S27" s="216"/>
      <c r="T27" s="215"/>
      <c r="U27" s="216"/>
      <c r="V27" s="215"/>
      <c r="W27" s="216"/>
      <c r="X27" s="215"/>
      <c r="Y27" s="216"/>
      <c r="Z27" s="215"/>
      <c r="AA27" s="216"/>
      <c r="AB27" s="217" t="e">
        <f t="shared" si="0"/>
        <v>#DIV/0!</v>
      </c>
      <c r="AC27" s="210" t="e">
        <f t="shared" si="1"/>
        <v>#DIV/0!</v>
      </c>
    </row>
    <row r="28" spans="2:29" ht="35.1" customHeight="1" x14ac:dyDescent="0.2">
      <c r="B28" s="211"/>
      <c r="C28" s="211"/>
      <c r="D28" s="211"/>
      <c r="E28" s="211"/>
      <c r="F28" s="212"/>
      <c r="G28" s="213"/>
      <c r="H28" s="213"/>
      <c r="I28" s="214"/>
      <c r="J28" s="215"/>
      <c r="K28" s="214"/>
      <c r="L28" s="215"/>
      <c r="M28" s="216"/>
      <c r="N28" s="215"/>
      <c r="O28" s="216"/>
      <c r="P28" s="215"/>
      <c r="Q28" s="216"/>
      <c r="R28" s="215"/>
      <c r="S28" s="216"/>
      <c r="T28" s="215"/>
      <c r="U28" s="216"/>
      <c r="V28" s="215"/>
      <c r="W28" s="216"/>
      <c r="X28" s="215"/>
      <c r="Y28" s="216"/>
      <c r="Z28" s="215"/>
      <c r="AA28" s="216"/>
      <c r="AB28" s="217" t="e">
        <f t="shared" si="0"/>
        <v>#DIV/0!</v>
      </c>
      <c r="AC28" s="210" t="e">
        <f t="shared" si="1"/>
        <v>#DIV/0!</v>
      </c>
    </row>
    <row r="29" spans="2:29" ht="35.1" customHeight="1" x14ac:dyDescent="0.2">
      <c r="B29" s="211"/>
      <c r="C29" s="211"/>
      <c r="D29" s="211"/>
      <c r="E29" s="211"/>
      <c r="F29" s="212"/>
      <c r="G29" s="213"/>
      <c r="H29" s="213"/>
      <c r="I29" s="214"/>
      <c r="J29" s="215"/>
      <c r="K29" s="214"/>
      <c r="L29" s="215"/>
      <c r="M29" s="216"/>
      <c r="N29" s="215"/>
      <c r="O29" s="216"/>
      <c r="P29" s="215"/>
      <c r="Q29" s="216"/>
      <c r="R29" s="215"/>
      <c r="S29" s="216"/>
      <c r="T29" s="215"/>
      <c r="U29" s="216"/>
      <c r="V29" s="215"/>
      <c r="W29" s="216"/>
      <c r="X29" s="215"/>
      <c r="Y29" s="216"/>
      <c r="Z29" s="215"/>
      <c r="AA29" s="216"/>
      <c r="AB29" s="217" t="e">
        <f t="shared" si="0"/>
        <v>#DIV/0!</v>
      </c>
      <c r="AC29" s="210" t="e">
        <f t="shared" si="1"/>
        <v>#DIV/0!</v>
      </c>
    </row>
    <row r="30" spans="2:29" ht="47.25" customHeight="1" x14ac:dyDescent="0.2">
      <c r="B30" s="211"/>
      <c r="C30" s="211"/>
      <c r="D30" s="211"/>
      <c r="E30" s="211"/>
      <c r="F30" s="212"/>
      <c r="G30" s="213"/>
      <c r="H30" s="213"/>
      <c r="I30" s="214"/>
      <c r="J30" s="215"/>
      <c r="K30" s="214"/>
      <c r="L30" s="215"/>
      <c r="M30" s="216"/>
      <c r="N30" s="215"/>
      <c r="O30" s="216"/>
      <c r="P30" s="215"/>
      <c r="Q30" s="216"/>
      <c r="R30" s="215"/>
      <c r="S30" s="216"/>
      <c r="T30" s="215"/>
      <c r="U30" s="216"/>
      <c r="V30" s="215"/>
      <c r="W30" s="216"/>
      <c r="X30" s="215"/>
      <c r="Y30" s="216"/>
      <c r="Z30" s="215"/>
      <c r="AA30" s="216"/>
      <c r="AB30" s="217" t="e">
        <f t="shared" si="0"/>
        <v>#DIV/0!</v>
      </c>
      <c r="AC30" s="210" t="e">
        <f t="shared" si="1"/>
        <v>#DIV/0!</v>
      </c>
    </row>
    <row r="31" spans="2:29" ht="35.1" customHeight="1" thickBot="1" x14ac:dyDescent="0.25">
      <c r="B31" s="218"/>
      <c r="C31" s="218"/>
      <c r="D31" s="218"/>
      <c r="E31" s="218"/>
      <c r="F31" s="219"/>
      <c r="G31" s="220"/>
      <c r="H31" s="220"/>
      <c r="I31" s="221"/>
      <c r="J31" s="222"/>
      <c r="K31" s="221"/>
      <c r="L31" s="222"/>
      <c r="M31" s="223"/>
      <c r="N31" s="222"/>
      <c r="O31" s="223"/>
      <c r="P31" s="222"/>
      <c r="Q31" s="223"/>
      <c r="R31" s="222"/>
      <c r="S31" s="223"/>
      <c r="T31" s="222"/>
      <c r="U31" s="223"/>
      <c r="V31" s="222"/>
      <c r="W31" s="223"/>
      <c r="X31" s="222"/>
      <c r="Y31" s="223"/>
      <c r="Z31" s="222"/>
      <c r="AA31" s="223"/>
      <c r="AB31" s="217" t="e">
        <f t="shared" si="0"/>
        <v>#DIV/0!</v>
      </c>
      <c r="AC31" s="210" t="e">
        <f t="shared" si="1"/>
        <v>#DIV/0!</v>
      </c>
    </row>
    <row r="32" spans="2:29" ht="35.1" customHeight="1" thickTop="1" x14ac:dyDescent="0.2">
      <c r="B32" s="205"/>
      <c r="C32" s="205"/>
      <c r="D32" s="205"/>
      <c r="E32" s="205"/>
      <c r="F32" s="205"/>
      <c r="G32" s="206"/>
      <c r="H32" s="206"/>
      <c r="I32" s="207"/>
      <c r="J32" s="208"/>
      <c r="K32" s="207"/>
      <c r="L32" s="208"/>
      <c r="M32" s="209"/>
      <c r="N32" s="208"/>
      <c r="O32" s="209"/>
      <c r="P32" s="208"/>
      <c r="Q32" s="209"/>
      <c r="R32" s="208"/>
      <c r="S32" s="209"/>
      <c r="T32" s="208"/>
      <c r="U32" s="209"/>
      <c r="V32" s="208"/>
      <c r="W32" s="209"/>
      <c r="X32" s="208"/>
      <c r="Y32" s="209"/>
      <c r="Z32" s="208"/>
      <c r="AA32" s="209"/>
      <c r="AB32" s="217" t="e">
        <f t="shared" si="0"/>
        <v>#DIV/0!</v>
      </c>
      <c r="AC32" s="210" t="e">
        <f t="shared" si="1"/>
        <v>#DIV/0!</v>
      </c>
    </row>
    <row r="33" spans="2:29" ht="35.1" customHeight="1" x14ac:dyDescent="0.2">
      <c r="B33" s="211"/>
      <c r="C33" s="211"/>
      <c r="D33" s="211"/>
      <c r="E33" s="211"/>
      <c r="F33" s="212"/>
      <c r="G33" s="213"/>
      <c r="H33" s="213"/>
      <c r="I33" s="214"/>
      <c r="J33" s="215"/>
      <c r="K33" s="214"/>
      <c r="L33" s="215"/>
      <c r="M33" s="216"/>
      <c r="N33" s="215"/>
      <c r="O33" s="216"/>
      <c r="P33" s="215"/>
      <c r="Q33" s="216"/>
      <c r="R33" s="215"/>
      <c r="S33" s="216"/>
      <c r="T33" s="215"/>
      <c r="U33" s="216"/>
      <c r="V33" s="215"/>
      <c r="W33" s="216"/>
      <c r="X33" s="215"/>
      <c r="Y33" s="216"/>
      <c r="Z33" s="215"/>
      <c r="AA33" s="216"/>
      <c r="AB33" s="217" t="e">
        <f t="shared" si="0"/>
        <v>#DIV/0!</v>
      </c>
      <c r="AC33" s="210" t="e">
        <f t="shared" si="1"/>
        <v>#DIV/0!</v>
      </c>
    </row>
    <row r="34" spans="2:29" ht="35.1" customHeight="1" x14ac:dyDescent="0.2">
      <c r="B34" s="211"/>
      <c r="C34" s="211"/>
      <c r="D34" s="211"/>
      <c r="E34" s="211"/>
      <c r="F34" s="212"/>
      <c r="G34" s="213"/>
      <c r="H34" s="213"/>
      <c r="I34" s="214"/>
      <c r="J34" s="215"/>
      <c r="K34" s="214"/>
      <c r="L34" s="215"/>
      <c r="M34" s="216"/>
      <c r="N34" s="215"/>
      <c r="O34" s="216"/>
      <c r="P34" s="215"/>
      <c r="Q34" s="216"/>
      <c r="R34" s="215"/>
      <c r="S34" s="216"/>
      <c r="T34" s="215"/>
      <c r="U34" s="216"/>
      <c r="V34" s="215"/>
      <c r="W34" s="216"/>
      <c r="X34" s="215"/>
      <c r="Y34" s="216"/>
      <c r="Z34" s="215"/>
      <c r="AA34" s="216"/>
      <c r="AB34" s="217" t="e">
        <f t="shared" si="0"/>
        <v>#DIV/0!</v>
      </c>
      <c r="AC34" s="210" t="e">
        <f t="shared" si="1"/>
        <v>#DIV/0!</v>
      </c>
    </row>
    <row r="35" spans="2:29" ht="35.1" customHeight="1" x14ac:dyDescent="0.2">
      <c r="B35" s="211"/>
      <c r="C35" s="211"/>
      <c r="D35" s="211"/>
      <c r="E35" s="211"/>
      <c r="F35" s="212"/>
      <c r="G35" s="213"/>
      <c r="H35" s="213"/>
      <c r="I35" s="214"/>
      <c r="J35" s="215"/>
      <c r="K35" s="214"/>
      <c r="L35" s="215"/>
      <c r="M35" s="216"/>
      <c r="N35" s="215"/>
      <c r="O35" s="216"/>
      <c r="P35" s="215"/>
      <c r="Q35" s="216"/>
      <c r="R35" s="215"/>
      <c r="S35" s="216"/>
      <c r="T35" s="215"/>
      <c r="U35" s="216"/>
      <c r="V35" s="215"/>
      <c r="W35" s="216"/>
      <c r="X35" s="215"/>
      <c r="Y35" s="216"/>
      <c r="Z35" s="215"/>
      <c r="AA35" s="216"/>
      <c r="AB35" s="217" t="e">
        <f t="shared" si="0"/>
        <v>#DIV/0!</v>
      </c>
      <c r="AC35" s="210" t="e">
        <f t="shared" si="1"/>
        <v>#DIV/0!</v>
      </c>
    </row>
    <row r="36" spans="2:29" ht="35.1" customHeight="1" x14ac:dyDescent="0.2">
      <c r="B36" s="211"/>
      <c r="C36" s="211"/>
      <c r="D36" s="211"/>
      <c r="E36" s="211"/>
      <c r="F36" s="212"/>
      <c r="G36" s="213"/>
      <c r="H36" s="213"/>
      <c r="I36" s="214"/>
      <c r="J36" s="215"/>
      <c r="K36" s="214"/>
      <c r="L36" s="215"/>
      <c r="M36" s="216"/>
      <c r="N36" s="215"/>
      <c r="O36" s="216"/>
      <c r="P36" s="215"/>
      <c r="Q36" s="216"/>
      <c r="R36" s="215"/>
      <c r="S36" s="216"/>
      <c r="T36" s="215"/>
      <c r="U36" s="216"/>
      <c r="V36" s="215"/>
      <c r="W36" s="216"/>
      <c r="X36" s="215"/>
      <c r="Y36" s="216"/>
      <c r="Z36" s="215"/>
      <c r="AA36" s="216"/>
      <c r="AB36" s="217" t="e">
        <f t="shared" si="0"/>
        <v>#DIV/0!</v>
      </c>
      <c r="AC36" s="210" t="e">
        <f t="shared" si="1"/>
        <v>#DIV/0!</v>
      </c>
    </row>
    <row r="37" spans="2:29" ht="47.25" customHeight="1" x14ac:dyDescent="0.2">
      <c r="B37" s="211"/>
      <c r="C37" s="211"/>
      <c r="D37" s="211"/>
      <c r="E37" s="211"/>
      <c r="F37" s="212"/>
      <c r="G37" s="213"/>
      <c r="H37" s="213"/>
      <c r="I37" s="214"/>
      <c r="J37" s="215"/>
      <c r="K37" s="214"/>
      <c r="L37" s="215"/>
      <c r="M37" s="216"/>
      <c r="N37" s="215"/>
      <c r="O37" s="216"/>
      <c r="P37" s="215"/>
      <c r="Q37" s="216"/>
      <c r="R37" s="215"/>
      <c r="S37" s="216"/>
      <c r="T37" s="215"/>
      <c r="U37" s="216"/>
      <c r="V37" s="215"/>
      <c r="W37" s="216"/>
      <c r="X37" s="215"/>
      <c r="Y37" s="216"/>
      <c r="Z37" s="215"/>
      <c r="AA37" s="216"/>
      <c r="AB37" s="217" t="e">
        <f t="shared" si="0"/>
        <v>#DIV/0!</v>
      </c>
      <c r="AC37" s="210" t="e">
        <f t="shared" si="1"/>
        <v>#DIV/0!</v>
      </c>
    </row>
    <row r="38" spans="2:29" ht="35.1" customHeight="1" thickBot="1" x14ac:dyDescent="0.25">
      <c r="B38" s="218"/>
      <c r="C38" s="218"/>
      <c r="D38" s="218"/>
      <c r="E38" s="218"/>
      <c r="F38" s="219"/>
      <c r="G38" s="220"/>
      <c r="H38" s="220"/>
      <c r="I38" s="221"/>
      <c r="J38" s="222"/>
      <c r="K38" s="221"/>
      <c r="L38" s="222"/>
      <c r="M38" s="223"/>
      <c r="N38" s="222"/>
      <c r="O38" s="223"/>
      <c r="P38" s="222"/>
      <c r="Q38" s="223"/>
      <c r="R38" s="222"/>
      <c r="S38" s="223"/>
      <c r="T38" s="222"/>
      <c r="U38" s="223"/>
      <c r="V38" s="222"/>
      <c r="W38" s="223"/>
      <c r="X38" s="222"/>
      <c r="Y38" s="223"/>
      <c r="Z38" s="222"/>
      <c r="AA38" s="223"/>
      <c r="AB38" s="217" t="e">
        <f t="shared" si="0"/>
        <v>#DIV/0!</v>
      </c>
      <c r="AC38" s="210" t="e">
        <f t="shared" si="1"/>
        <v>#DIV/0!</v>
      </c>
    </row>
    <row r="39" spans="2:29" ht="35.1" customHeight="1" thickTop="1" x14ac:dyDescent="0.2">
      <c r="B39" s="205"/>
      <c r="C39" s="205"/>
      <c r="D39" s="205"/>
      <c r="E39" s="205"/>
      <c r="F39" s="205"/>
      <c r="G39" s="206"/>
      <c r="H39" s="206"/>
      <c r="I39" s="207"/>
      <c r="J39" s="208"/>
      <c r="K39" s="207"/>
      <c r="L39" s="208"/>
      <c r="M39" s="209"/>
      <c r="N39" s="208"/>
      <c r="O39" s="209"/>
      <c r="P39" s="208"/>
      <c r="Q39" s="209"/>
      <c r="R39" s="208"/>
      <c r="S39" s="209"/>
      <c r="T39" s="208"/>
      <c r="U39" s="209"/>
      <c r="V39" s="208"/>
      <c r="W39" s="209"/>
      <c r="X39" s="208"/>
      <c r="Y39" s="209"/>
      <c r="Z39" s="208"/>
      <c r="AA39" s="209"/>
      <c r="AB39" s="217" t="e">
        <f t="shared" si="0"/>
        <v>#DIV/0!</v>
      </c>
      <c r="AC39" s="210" t="e">
        <f t="shared" si="1"/>
        <v>#DIV/0!</v>
      </c>
    </row>
    <row r="40" spans="2:29" ht="35.1" customHeight="1" x14ac:dyDescent="0.2">
      <c r="B40" s="211"/>
      <c r="C40" s="211"/>
      <c r="D40" s="211"/>
      <c r="E40" s="211"/>
      <c r="F40" s="212"/>
      <c r="G40" s="213"/>
      <c r="H40" s="213"/>
      <c r="I40" s="214"/>
      <c r="J40" s="215"/>
      <c r="K40" s="214"/>
      <c r="L40" s="215"/>
      <c r="M40" s="216"/>
      <c r="N40" s="215"/>
      <c r="O40" s="216"/>
      <c r="P40" s="215"/>
      <c r="Q40" s="216"/>
      <c r="R40" s="215"/>
      <c r="S40" s="216"/>
      <c r="T40" s="215"/>
      <c r="U40" s="216"/>
      <c r="V40" s="215"/>
      <c r="W40" s="216"/>
      <c r="X40" s="215"/>
      <c r="Y40" s="216"/>
      <c r="Z40" s="215"/>
      <c r="AA40" s="216"/>
      <c r="AB40" s="217" t="e">
        <f t="shared" si="0"/>
        <v>#DIV/0!</v>
      </c>
      <c r="AC40" s="210" t="e">
        <f t="shared" si="1"/>
        <v>#DIV/0!</v>
      </c>
    </row>
    <row r="41" spans="2:29" ht="35.1" customHeight="1" x14ac:dyDescent="0.2">
      <c r="B41" s="211"/>
      <c r="C41" s="211"/>
      <c r="D41" s="211"/>
      <c r="E41" s="211"/>
      <c r="F41" s="212"/>
      <c r="G41" s="213"/>
      <c r="H41" s="213"/>
      <c r="I41" s="214"/>
      <c r="J41" s="215"/>
      <c r="K41" s="214"/>
      <c r="L41" s="215"/>
      <c r="M41" s="216"/>
      <c r="N41" s="215"/>
      <c r="O41" s="216"/>
      <c r="P41" s="215"/>
      <c r="Q41" s="216"/>
      <c r="R41" s="215"/>
      <c r="S41" s="216"/>
      <c r="T41" s="215"/>
      <c r="U41" s="216"/>
      <c r="V41" s="215"/>
      <c r="W41" s="216"/>
      <c r="X41" s="215"/>
      <c r="Y41" s="216"/>
      <c r="Z41" s="215"/>
      <c r="AA41" s="216"/>
      <c r="AB41" s="217" t="e">
        <f t="shared" si="0"/>
        <v>#DIV/0!</v>
      </c>
      <c r="AC41" s="210" t="e">
        <f t="shared" si="1"/>
        <v>#DIV/0!</v>
      </c>
    </row>
    <row r="42" spans="2:29" ht="35.1" customHeight="1" x14ac:dyDescent="0.2">
      <c r="B42" s="211"/>
      <c r="C42" s="211"/>
      <c r="D42" s="211"/>
      <c r="E42" s="211"/>
      <c r="F42" s="212"/>
      <c r="G42" s="213"/>
      <c r="H42" s="213"/>
      <c r="I42" s="214"/>
      <c r="J42" s="215"/>
      <c r="K42" s="214"/>
      <c r="L42" s="215"/>
      <c r="M42" s="216"/>
      <c r="N42" s="215"/>
      <c r="O42" s="216"/>
      <c r="P42" s="215"/>
      <c r="Q42" s="216"/>
      <c r="R42" s="215"/>
      <c r="S42" s="216"/>
      <c r="T42" s="215"/>
      <c r="U42" s="216"/>
      <c r="V42" s="215"/>
      <c r="W42" s="216"/>
      <c r="X42" s="215"/>
      <c r="Y42" s="216"/>
      <c r="Z42" s="215"/>
      <c r="AA42" s="216"/>
      <c r="AB42" s="217" t="e">
        <f t="shared" si="0"/>
        <v>#DIV/0!</v>
      </c>
      <c r="AC42" s="210" t="e">
        <f t="shared" si="1"/>
        <v>#DIV/0!</v>
      </c>
    </row>
    <row r="43" spans="2:29" ht="35.1" customHeight="1" x14ac:dyDescent="0.2">
      <c r="B43" s="211"/>
      <c r="C43" s="211"/>
      <c r="D43" s="211"/>
      <c r="E43" s="211"/>
      <c r="F43" s="212"/>
      <c r="G43" s="213"/>
      <c r="H43" s="213"/>
      <c r="I43" s="214"/>
      <c r="J43" s="215"/>
      <c r="K43" s="214"/>
      <c r="L43" s="215"/>
      <c r="M43" s="216"/>
      <c r="N43" s="215"/>
      <c r="O43" s="216"/>
      <c r="P43" s="215"/>
      <c r="Q43" s="216"/>
      <c r="R43" s="215"/>
      <c r="S43" s="216"/>
      <c r="T43" s="215"/>
      <c r="U43" s="216"/>
      <c r="V43" s="215"/>
      <c r="W43" s="216"/>
      <c r="X43" s="215"/>
      <c r="Y43" s="216"/>
      <c r="Z43" s="215"/>
      <c r="AA43" s="216"/>
      <c r="AB43" s="217" t="e">
        <f t="shared" si="0"/>
        <v>#DIV/0!</v>
      </c>
      <c r="AC43" s="210" t="e">
        <f t="shared" si="1"/>
        <v>#DIV/0!</v>
      </c>
    </row>
    <row r="44" spans="2:29" ht="47.25" customHeight="1" x14ac:dyDescent="0.2">
      <c r="B44" s="211"/>
      <c r="C44" s="211"/>
      <c r="D44" s="211"/>
      <c r="E44" s="211"/>
      <c r="F44" s="212"/>
      <c r="G44" s="213"/>
      <c r="H44" s="213"/>
      <c r="I44" s="214"/>
      <c r="J44" s="215"/>
      <c r="K44" s="214"/>
      <c r="L44" s="215"/>
      <c r="M44" s="216"/>
      <c r="N44" s="215"/>
      <c r="O44" s="216"/>
      <c r="P44" s="215"/>
      <c r="Q44" s="216"/>
      <c r="R44" s="215"/>
      <c r="S44" s="216"/>
      <c r="T44" s="215"/>
      <c r="U44" s="216"/>
      <c r="V44" s="215"/>
      <c r="W44" s="216"/>
      <c r="X44" s="215"/>
      <c r="Y44" s="216"/>
      <c r="Z44" s="215"/>
      <c r="AA44" s="216"/>
      <c r="AB44" s="217" t="e">
        <f t="shared" si="0"/>
        <v>#DIV/0!</v>
      </c>
      <c r="AC44" s="210" t="e">
        <f t="shared" si="1"/>
        <v>#DIV/0!</v>
      </c>
    </row>
    <row r="45" spans="2:29" ht="35.1" customHeight="1" thickBot="1" x14ac:dyDescent="0.25">
      <c r="B45" s="218"/>
      <c r="C45" s="218"/>
      <c r="D45" s="218"/>
      <c r="E45" s="218"/>
      <c r="F45" s="219"/>
      <c r="G45" s="220"/>
      <c r="H45" s="220"/>
      <c r="I45" s="221"/>
      <c r="J45" s="222"/>
      <c r="K45" s="221"/>
      <c r="L45" s="222"/>
      <c r="M45" s="223"/>
      <c r="N45" s="222"/>
      <c r="O45" s="223"/>
      <c r="P45" s="222"/>
      <c r="Q45" s="223"/>
      <c r="R45" s="222"/>
      <c r="S45" s="223"/>
      <c r="T45" s="222"/>
      <c r="U45" s="223"/>
      <c r="V45" s="222"/>
      <c r="W45" s="223"/>
      <c r="X45" s="222"/>
      <c r="Y45" s="223"/>
      <c r="Z45" s="222"/>
      <c r="AA45" s="223"/>
      <c r="AB45" s="217" t="e">
        <f t="shared" si="0"/>
        <v>#DIV/0!</v>
      </c>
      <c r="AC45" s="210" t="e">
        <f t="shared" si="1"/>
        <v>#DIV/0!</v>
      </c>
    </row>
    <row r="46" spans="2:29" ht="35.1" customHeight="1" thickTop="1" x14ac:dyDescent="0.2">
      <c r="B46" s="205"/>
      <c r="C46" s="205"/>
      <c r="D46" s="205"/>
      <c r="E46" s="205"/>
      <c r="F46" s="205"/>
      <c r="G46" s="206"/>
      <c r="H46" s="206"/>
      <c r="I46" s="207"/>
      <c r="J46" s="208"/>
      <c r="K46" s="207"/>
      <c r="L46" s="208"/>
      <c r="M46" s="209"/>
      <c r="N46" s="208"/>
      <c r="O46" s="209"/>
      <c r="P46" s="208"/>
      <c r="Q46" s="209"/>
      <c r="R46" s="208"/>
      <c r="S46" s="209"/>
      <c r="T46" s="208"/>
      <c r="U46" s="209"/>
      <c r="V46" s="208"/>
      <c r="W46" s="209"/>
      <c r="X46" s="208"/>
      <c r="Y46" s="209"/>
      <c r="Z46" s="208"/>
      <c r="AA46" s="209"/>
      <c r="AB46" s="217" t="e">
        <f t="shared" si="0"/>
        <v>#DIV/0!</v>
      </c>
      <c r="AC46" s="210" t="e">
        <f t="shared" si="1"/>
        <v>#DIV/0!</v>
      </c>
    </row>
    <row r="47" spans="2:29" ht="35.1" customHeight="1" x14ac:dyDescent="0.2">
      <c r="B47" s="211"/>
      <c r="C47" s="211"/>
      <c r="D47" s="211"/>
      <c r="E47" s="211"/>
      <c r="F47" s="212"/>
      <c r="G47" s="213"/>
      <c r="H47" s="213"/>
      <c r="I47" s="214"/>
      <c r="J47" s="215"/>
      <c r="K47" s="214"/>
      <c r="L47" s="215"/>
      <c r="M47" s="216"/>
      <c r="N47" s="215"/>
      <c r="O47" s="216"/>
      <c r="P47" s="215"/>
      <c r="Q47" s="216"/>
      <c r="R47" s="215"/>
      <c r="S47" s="216"/>
      <c r="T47" s="215"/>
      <c r="U47" s="216"/>
      <c r="V47" s="215"/>
      <c r="W47" s="216"/>
      <c r="X47" s="215"/>
      <c r="Y47" s="216"/>
      <c r="Z47" s="215"/>
      <c r="AA47" s="216"/>
      <c r="AB47" s="217" t="e">
        <f t="shared" si="0"/>
        <v>#DIV/0!</v>
      </c>
      <c r="AC47" s="210" t="e">
        <f t="shared" si="1"/>
        <v>#DIV/0!</v>
      </c>
    </row>
    <row r="48" spans="2:29" ht="35.1" customHeight="1" x14ac:dyDescent="0.2">
      <c r="B48" s="211"/>
      <c r="C48" s="211"/>
      <c r="D48" s="211"/>
      <c r="E48" s="211"/>
      <c r="F48" s="212"/>
      <c r="G48" s="213"/>
      <c r="H48" s="213"/>
      <c r="I48" s="214"/>
      <c r="J48" s="215"/>
      <c r="K48" s="214"/>
      <c r="L48" s="215"/>
      <c r="M48" s="216"/>
      <c r="N48" s="215"/>
      <c r="O48" s="216"/>
      <c r="P48" s="215"/>
      <c r="Q48" s="216"/>
      <c r="R48" s="215"/>
      <c r="S48" s="216"/>
      <c r="T48" s="215"/>
      <c r="U48" s="216"/>
      <c r="V48" s="215"/>
      <c r="W48" s="216"/>
      <c r="X48" s="215"/>
      <c r="Y48" s="216"/>
      <c r="Z48" s="215"/>
      <c r="AA48" s="216"/>
      <c r="AB48" s="217" t="e">
        <f t="shared" si="0"/>
        <v>#DIV/0!</v>
      </c>
      <c r="AC48" s="210" t="e">
        <f t="shared" si="1"/>
        <v>#DIV/0!</v>
      </c>
    </row>
    <row r="49" spans="2:29" ht="35.1" customHeight="1" x14ac:dyDescent="0.2">
      <c r="B49" s="211"/>
      <c r="C49" s="211"/>
      <c r="D49" s="211"/>
      <c r="E49" s="211"/>
      <c r="F49" s="212"/>
      <c r="G49" s="213"/>
      <c r="H49" s="213"/>
      <c r="I49" s="214"/>
      <c r="J49" s="215"/>
      <c r="K49" s="214"/>
      <c r="L49" s="215"/>
      <c r="M49" s="216"/>
      <c r="N49" s="215"/>
      <c r="O49" s="216"/>
      <c r="P49" s="215"/>
      <c r="Q49" s="216"/>
      <c r="R49" s="215"/>
      <c r="S49" s="216"/>
      <c r="T49" s="215"/>
      <c r="U49" s="216"/>
      <c r="V49" s="215"/>
      <c r="W49" s="216"/>
      <c r="X49" s="215"/>
      <c r="Y49" s="216"/>
      <c r="Z49" s="215"/>
      <c r="AA49" s="216"/>
      <c r="AB49" s="217" t="e">
        <f t="shared" si="0"/>
        <v>#DIV/0!</v>
      </c>
      <c r="AC49" s="210" t="e">
        <f t="shared" si="1"/>
        <v>#DIV/0!</v>
      </c>
    </row>
    <row r="50" spans="2:29" ht="35.1" customHeight="1" x14ac:dyDescent="0.2">
      <c r="B50" s="211"/>
      <c r="C50" s="211"/>
      <c r="D50" s="211"/>
      <c r="E50" s="211"/>
      <c r="F50" s="212"/>
      <c r="G50" s="213"/>
      <c r="H50" s="213"/>
      <c r="I50" s="214"/>
      <c r="J50" s="215"/>
      <c r="K50" s="214"/>
      <c r="L50" s="215"/>
      <c r="M50" s="216"/>
      <c r="N50" s="215"/>
      <c r="O50" s="216"/>
      <c r="P50" s="215"/>
      <c r="Q50" s="216"/>
      <c r="R50" s="215"/>
      <c r="S50" s="216"/>
      <c r="T50" s="215"/>
      <c r="U50" s="216"/>
      <c r="V50" s="215"/>
      <c r="W50" s="216"/>
      <c r="X50" s="215"/>
      <c r="Y50" s="216"/>
      <c r="Z50" s="215"/>
      <c r="AA50" s="216"/>
      <c r="AB50" s="217" t="e">
        <f t="shared" si="0"/>
        <v>#DIV/0!</v>
      </c>
      <c r="AC50" s="210" t="e">
        <f t="shared" si="1"/>
        <v>#DIV/0!</v>
      </c>
    </row>
    <row r="51" spans="2:29" ht="47.25" customHeight="1" x14ac:dyDescent="0.2">
      <c r="B51" s="211"/>
      <c r="C51" s="211"/>
      <c r="D51" s="211"/>
      <c r="E51" s="211"/>
      <c r="F51" s="212"/>
      <c r="G51" s="213"/>
      <c r="H51" s="213"/>
      <c r="I51" s="214"/>
      <c r="J51" s="215"/>
      <c r="K51" s="214"/>
      <c r="L51" s="215"/>
      <c r="M51" s="216"/>
      <c r="N51" s="215"/>
      <c r="O51" s="216"/>
      <c r="P51" s="215"/>
      <c r="Q51" s="216"/>
      <c r="R51" s="215"/>
      <c r="S51" s="216"/>
      <c r="T51" s="215"/>
      <c r="U51" s="216"/>
      <c r="V51" s="215"/>
      <c r="W51" s="216"/>
      <c r="X51" s="215"/>
      <c r="Y51" s="216"/>
      <c r="Z51" s="215"/>
      <c r="AA51" s="216"/>
      <c r="AB51" s="217" t="e">
        <f t="shared" si="0"/>
        <v>#DIV/0!</v>
      </c>
      <c r="AC51" s="210" t="e">
        <f t="shared" si="1"/>
        <v>#DIV/0!</v>
      </c>
    </row>
    <row r="52" spans="2:29" ht="35.1" customHeight="1" thickBot="1" x14ac:dyDescent="0.25">
      <c r="B52" s="218"/>
      <c r="C52" s="218"/>
      <c r="D52" s="218"/>
      <c r="E52" s="218"/>
      <c r="F52" s="219"/>
      <c r="G52" s="220"/>
      <c r="H52" s="220"/>
      <c r="I52" s="221"/>
      <c r="J52" s="222"/>
      <c r="K52" s="221"/>
      <c r="L52" s="222"/>
      <c r="M52" s="223"/>
      <c r="N52" s="222"/>
      <c r="O52" s="223"/>
      <c r="P52" s="222"/>
      <c r="Q52" s="223"/>
      <c r="R52" s="222"/>
      <c r="S52" s="223"/>
      <c r="T52" s="222"/>
      <c r="U52" s="223"/>
      <c r="V52" s="222"/>
      <c r="W52" s="223"/>
      <c r="X52" s="222"/>
      <c r="Y52" s="223"/>
      <c r="Z52" s="222"/>
      <c r="AA52" s="223"/>
      <c r="AB52" s="217" t="e">
        <f t="shared" si="0"/>
        <v>#DIV/0!</v>
      </c>
      <c r="AC52" s="210" t="e">
        <f t="shared" si="1"/>
        <v>#DIV/0!</v>
      </c>
    </row>
    <row r="53" spans="2:29" ht="35.1" customHeight="1" thickTop="1" x14ac:dyDescent="0.2">
      <c r="B53" s="205"/>
      <c r="C53" s="205"/>
      <c r="D53" s="205"/>
      <c r="E53" s="205"/>
      <c r="F53" s="205"/>
      <c r="G53" s="206"/>
      <c r="H53" s="206"/>
      <c r="I53" s="207"/>
      <c r="J53" s="208"/>
      <c r="K53" s="207"/>
      <c r="L53" s="208"/>
      <c r="M53" s="209"/>
      <c r="N53" s="208"/>
      <c r="O53" s="209"/>
      <c r="P53" s="208"/>
      <c r="Q53" s="209"/>
      <c r="R53" s="208"/>
      <c r="S53" s="209"/>
      <c r="T53" s="208"/>
      <c r="U53" s="209"/>
      <c r="V53" s="208"/>
      <c r="W53" s="209"/>
      <c r="X53" s="208"/>
      <c r="Y53" s="209"/>
      <c r="Z53" s="208"/>
      <c r="AA53" s="209"/>
      <c r="AB53" s="217" t="e">
        <f t="shared" si="0"/>
        <v>#DIV/0!</v>
      </c>
      <c r="AC53" s="210" t="e">
        <f t="shared" si="1"/>
        <v>#DIV/0!</v>
      </c>
    </row>
    <row r="54" spans="2:29" ht="35.1" customHeight="1" x14ac:dyDescent="0.2">
      <c r="B54" s="211"/>
      <c r="C54" s="211"/>
      <c r="D54" s="211"/>
      <c r="E54" s="211"/>
      <c r="F54" s="212"/>
      <c r="G54" s="213"/>
      <c r="H54" s="213"/>
      <c r="I54" s="214"/>
      <c r="J54" s="215"/>
      <c r="K54" s="214"/>
      <c r="L54" s="215"/>
      <c r="M54" s="216"/>
      <c r="N54" s="215"/>
      <c r="O54" s="216"/>
      <c r="P54" s="215"/>
      <c r="Q54" s="216"/>
      <c r="R54" s="215"/>
      <c r="S54" s="216"/>
      <c r="T54" s="215"/>
      <c r="U54" s="216"/>
      <c r="V54" s="215"/>
      <c r="W54" s="216"/>
      <c r="X54" s="215"/>
      <c r="Y54" s="216"/>
      <c r="Z54" s="215"/>
      <c r="AA54" s="216"/>
      <c r="AB54" s="217" t="e">
        <f t="shared" si="0"/>
        <v>#DIV/0!</v>
      </c>
      <c r="AC54" s="210" t="e">
        <f t="shared" si="1"/>
        <v>#DIV/0!</v>
      </c>
    </row>
    <row r="55" spans="2:29" ht="35.1" customHeight="1" x14ac:dyDescent="0.2">
      <c r="B55" s="211"/>
      <c r="C55" s="211"/>
      <c r="D55" s="211"/>
      <c r="E55" s="211"/>
      <c r="F55" s="212"/>
      <c r="G55" s="213"/>
      <c r="H55" s="213"/>
      <c r="I55" s="214"/>
      <c r="J55" s="215"/>
      <c r="K55" s="214"/>
      <c r="L55" s="215"/>
      <c r="M55" s="216"/>
      <c r="N55" s="215"/>
      <c r="O55" s="216"/>
      <c r="P55" s="215"/>
      <c r="Q55" s="216"/>
      <c r="R55" s="215"/>
      <c r="S55" s="216"/>
      <c r="T55" s="215"/>
      <c r="U55" s="216"/>
      <c r="V55" s="215"/>
      <c r="W55" s="216"/>
      <c r="X55" s="215"/>
      <c r="Y55" s="216"/>
      <c r="Z55" s="215"/>
      <c r="AA55" s="216"/>
      <c r="AB55" s="217" t="e">
        <f t="shared" si="0"/>
        <v>#DIV/0!</v>
      </c>
      <c r="AC55" s="210" t="e">
        <f t="shared" si="1"/>
        <v>#DIV/0!</v>
      </c>
    </row>
    <row r="56" spans="2:29" ht="35.1" customHeight="1" x14ac:dyDescent="0.2">
      <c r="B56" s="211"/>
      <c r="C56" s="211"/>
      <c r="D56" s="211"/>
      <c r="E56" s="211"/>
      <c r="F56" s="212"/>
      <c r="G56" s="213"/>
      <c r="H56" s="213"/>
      <c r="I56" s="214"/>
      <c r="J56" s="215"/>
      <c r="K56" s="214"/>
      <c r="L56" s="215"/>
      <c r="M56" s="216"/>
      <c r="N56" s="215"/>
      <c r="O56" s="216"/>
      <c r="P56" s="215"/>
      <c r="Q56" s="216"/>
      <c r="R56" s="215"/>
      <c r="S56" s="216"/>
      <c r="T56" s="215"/>
      <c r="U56" s="216"/>
      <c r="V56" s="215"/>
      <c r="W56" s="216"/>
      <c r="X56" s="215"/>
      <c r="Y56" s="216"/>
      <c r="Z56" s="215"/>
      <c r="AA56" s="216"/>
      <c r="AB56" s="217" t="e">
        <f t="shared" si="0"/>
        <v>#DIV/0!</v>
      </c>
      <c r="AC56" s="210" t="e">
        <f t="shared" si="1"/>
        <v>#DIV/0!</v>
      </c>
    </row>
    <row r="57" spans="2:29" ht="35.1" customHeight="1" x14ac:dyDescent="0.2">
      <c r="B57" s="211"/>
      <c r="C57" s="211"/>
      <c r="D57" s="211"/>
      <c r="E57" s="211"/>
      <c r="F57" s="212"/>
      <c r="G57" s="213"/>
      <c r="H57" s="213"/>
      <c r="I57" s="214"/>
      <c r="J57" s="215"/>
      <c r="K57" s="214"/>
      <c r="L57" s="215"/>
      <c r="M57" s="216"/>
      <c r="N57" s="215"/>
      <c r="O57" s="216"/>
      <c r="P57" s="215"/>
      <c r="Q57" s="216"/>
      <c r="R57" s="215"/>
      <c r="S57" s="216"/>
      <c r="T57" s="215"/>
      <c r="U57" s="216"/>
      <c r="V57" s="215"/>
      <c r="W57" s="216"/>
      <c r="X57" s="215"/>
      <c r="Y57" s="216"/>
      <c r="Z57" s="215"/>
      <c r="AA57" s="216"/>
      <c r="AB57" s="217" t="e">
        <f t="shared" si="0"/>
        <v>#DIV/0!</v>
      </c>
      <c r="AC57" s="210" t="e">
        <f t="shared" si="1"/>
        <v>#DIV/0!</v>
      </c>
    </row>
    <row r="58" spans="2:29" ht="47.25" customHeight="1" x14ac:dyDescent="0.2">
      <c r="B58" s="211"/>
      <c r="C58" s="211"/>
      <c r="D58" s="211"/>
      <c r="E58" s="211"/>
      <c r="F58" s="212"/>
      <c r="G58" s="213"/>
      <c r="H58" s="213"/>
      <c r="I58" s="214"/>
      <c r="J58" s="215"/>
      <c r="K58" s="214"/>
      <c r="L58" s="215"/>
      <c r="M58" s="216"/>
      <c r="N58" s="215"/>
      <c r="O58" s="216"/>
      <c r="P58" s="215"/>
      <c r="Q58" s="216"/>
      <c r="R58" s="215"/>
      <c r="S58" s="216"/>
      <c r="T58" s="215"/>
      <c r="U58" s="216"/>
      <c r="V58" s="215"/>
      <c r="W58" s="216"/>
      <c r="X58" s="215"/>
      <c r="Y58" s="216"/>
      <c r="Z58" s="215"/>
      <c r="AA58" s="216"/>
      <c r="AB58" s="217" t="e">
        <f t="shared" si="0"/>
        <v>#DIV/0!</v>
      </c>
      <c r="AC58" s="210" t="e">
        <f t="shared" si="1"/>
        <v>#DIV/0!</v>
      </c>
    </row>
    <row r="59" spans="2:29" ht="35.1" customHeight="1" thickBot="1" x14ac:dyDescent="0.25">
      <c r="B59" s="218"/>
      <c r="C59" s="218"/>
      <c r="D59" s="218"/>
      <c r="E59" s="218"/>
      <c r="F59" s="219"/>
      <c r="G59" s="220"/>
      <c r="H59" s="220"/>
      <c r="I59" s="221"/>
      <c r="J59" s="222"/>
      <c r="K59" s="221"/>
      <c r="L59" s="222"/>
      <c r="M59" s="223"/>
      <c r="N59" s="222"/>
      <c r="O59" s="223"/>
      <c r="P59" s="222"/>
      <c r="Q59" s="223"/>
      <c r="R59" s="222"/>
      <c r="S59" s="223"/>
      <c r="T59" s="222"/>
      <c r="U59" s="223"/>
      <c r="V59" s="222"/>
      <c r="W59" s="223"/>
      <c r="X59" s="222"/>
      <c r="Y59" s="223"/>
      <c r="Z59" s="222"/>
      <c r="AA59" s="223"/>
      <c r="AB59" s="217" t="e">
        <f t="shared" si="0"/>
        <v>#DIV/0!</v>
      </c>
      <c r="AC59" s="210" t="e">
        <f t="shared" si="1"/>
        <v>#DIV/0!</v>
      </c>
    </row>
    <row r="60" spans="2:29" ht="35.1" customHeight="1" thickTop="1" x14ac:dyDescent="0.2">
      <c r="B60" s="205"/>
      <c r="C60" s="205"/>
      <c r="D60" s="205"/>
      <c r="E60" s="205"/>
      <c r="F60" s="205"/>
      <c r="G60" s="206"/>
      <c r="H60" s="206"/>
      <c r="I60" s="207"/>
      <c r="J60" s="208"/>
      <c r="K60" s="207"/>
      <c r="L60" s="208"/>
      <c r="M60" s="209"/>
      <c r="N60" s="208"/>
      <c r="O60" s="209"/>
      <c r="P60" s="208"/>
      <c r="Q60" s="209"/>
      <c r="R60" s="208"/>
      <c r="S60" s="209"/>
      <c r="T60" s="208"/>
      <c r="U60" s="209"/>
      <c r="V60" s="208"/>
      <c r="W60" s="209"/>
      <c r="X60" s="208"/>
      <c r="Y60" s="209"/>
      <c r="Z60" s="208"/>
      <c r="AA60" s="209"/>
      <c r="AB60" s="217" t="e">
        <f t="shared" si="0"/>
        <v>#DIV/0!</v>
      </c>
      <c r="AC60" s="210" t="e">
        <f t="shared" si="1"/>
        <v>#DIV/0!</v>
      </c>
    </row>
    <row r="61" spans="2:29" ht="35.1" customHeight="1" x14ac:dyDescent="0.2">
      <c r="B61" s="211"/>
      <c r="C61" s="211"/>
      <c r="D61" s="211"/>
      <c r="E61" s="211"/>
      <c r="F61" s="212"/>
      <c r="G61" s="213"/>
      <c r="H61" s="213"/>
      <c r="I61" s="214"/>
      <c r="J61" s="215"/>
      <c r="K61" s="214"/>
      <c r="L61" s="215"/>
      <c r="M61" s="216"/>
      <c r="N61" s="215"/>
      <c r="O61" s="216"/>
      <c r="P61" s="215"/>
      <c r="Q61" s="216"/>
      <c r="R61" s="215"/>
      <c r="S61" s="216"/>
      <c r="T61" s="215"/>
      <c r="U61" s="216"/>
      <c r="V61" s="215"/>
      <c r="W61" s="216"/>
      <c r="X61" s="215"/>
      <c r="Y61" s="216"/>
      <c r="Z61" s="215"/>
      <c r="AA61" s="216"/>
      <c r="AB61" s="217" t="e">
        <f t="shared" si="0"/>
        <v>#DIV/0!</v>
      </c>
      <c r="AC61" s="210" t="e">
        <f t="shared" si="1"/>
        <v>#DIV/0!</v>
      </c>
    </row>
    <row r="62" spans="2:29" ht="35.1" customHeight="1" x14ac:dyDescent="0.2">
      <c r="B62" s="211"/>
      <c r="C62" s="211"/>
      <c r="D62" s="211"/>
      <c r="E62" s="211"/>
      <c r="F62" s="212"/>
      <c r="G62" s="213"/>
      <c r="H62" s="213"/>
      <c r="I62" s="214"/>
      <c r="J62" s="215"/>
      <c r="K62" s="214"/>
      <c r="L62" s="215"/>
      <c r="M62" s="216"/>
      <c r="N62" s="215"/>
      <c r="O62" s="216"/>
      <c r="P62" s="215"/>
      <c r="Q62" s="216"/>
      <c r="R62" s="215"/>
      <c r="S62" s="216"/>
      <c r="T62" s="215"/>
      <c r="U62" s="216"/>
      <c r="V62" s="215"/>
      <c r="W62" s="216"/>
      <c r="X62" s="215"/>
      <c r="Y62" s="216"/>
      <c r="Z62" s="215"/>
      <c r="AA62" s="216"/>
      <c r="AB62" s="217" t="e">
        <f t="shared" si="0"/>
        <v>#DIV/0!</v>
      </c>
      <c r="AC62" s="210" t="e">
        <f t="shared" si="1"/>
        <v>#DIV/0!</v>
      </c>
    </row>
    <row r="63" spans="2:29" ht="35.1" customHeight="1" x14ac:dyDescent="0.2">
      <c r="B63" s="211"/>
      <c r="C63" s="211"/>
      <c r="D63" s="211"/>
      <c r="E63" s="211"/>
      <c r="F63" s="212"/>
      <c r="G63" s="213"/>
      <c r="H63" s="213"/>
      <c r="I63" s="214"/>
      <c r="J63" s="215"/>
      <c r="K63" s="214"/>
      <c r="L63" s="215"/>
      <c r="M63" s="216"/>
      <c r="N63" s="215"/>
      <c r="O63" s="216"/>
      <c r="P63" s="215"/>
      <c r="Q63" s="216"/>
      <c r="R63" s="215"/>
      <c r="S63" s="216"/>
      <c r="T63" s="215"/>
      <c r="U63" s="216"/>
      <c r="V63" s="215"/>
      <c r="W63" s="216"/>
      <c r="X63" s="215"/>
      <c r="Y63" s="216"/>
      <c r="Z63" s="215"/>
      <c r="AA63" s="216"/>
      <c r="AB63" s="217" t="e">
        <f t="shared" si="0"/>
        <v>#DIV/0!</v>
      </c>
      <c r="AC63" s="210" t="e">
        <f t="shared" si="1"/>
        <v>#DIV/0!</v>
      </c>
    </row>
    <row r="64" spans="2:29" ht="35.1" customHeight="1" x14ac:dyDescent="0.2">
      <c r="B64" s="211"/>
      <c r="C64" s="211"/>
      <c r="D64" s="211"/>
      <c r="E64" s="211"/>
      <c r="F64" s="212"/>
      <c r="G64" s="213"/>
      <c r="H64" s="213"/>
      <c r="I64" s="214"/>
      <c r="J64" s="215"/>
      <c r="K64" s="214"/>
      <c r="L64" s="215"/>
      <c r="M64" s="216"/>
      <c r="N64" s="215"/>
      <c r="O64" s="216"/>
      <c r="P64" s="215"/>
      <c r="Q64" s="216"/>
      <c r="R64" s="215"/>
      <c r="S64" s="216"/>
      <c r="T64" s="215"/>
      <c r="U64" s="216"/>
      <c r="V64" s="215"/>
      <c r="W64" s="216"/>
      <c r="X64" s="215"/>
      <c r="Y64" s="216"/>
      <c r="Z64" s="215"/>
      <c r="AA64" s="216"/>
      <c r="AB64" s="217" t="e">
        <f t="shared" si="0"/>
        <v>#DIV/0!</v>
      </c>
      <c r="AC64" s="210" t="e">
        <f t="shared" si="1"/>
        <v>#DIV/0!</v>
      </c>
    </row>
    <row r="65" spans="2:29" ht="47.25" customHeight="1" x14ac:dyDescent="0.2">
      <c r="B65" s="211"/>
      <c r="C65" s="211"/>
      <c r="D65" s="211"/>
      <c r="E65" s="211"/>
      <c r="F65" s="212"/>
      <c r="G65" s="213"/>
      <c r="H65" s="213"/>
      <c r="I65" s="214"/>
      <c r="J65" s="215"/>
      <c r="K65" s="214"/>
      <c r="L65" s="215"/>
      <c r="M65" s="216"/>
      <c r="N65" s="215"/>
      <c r="O65" s="216"/>
      <c r="P65" s="215"/>
      <c r="Q65" s="216"/>
      <c r="R65" s="215"/>
      <c r="S65" s="216"/>
      <c r="T65" s="215"/>
      <c r="U65" s="216"/>
      <c r="V65" s="215"/>
      <c r="W65" s="216"/>
      <c r="X65" s="215"/>
      <c r="Y65" s="216"/>
      <c r="Z65" s="215"/>
      <c r="AA65" s="216"/>
      <c r="AB65" s="217" t="e">
        <f t="shared" si="0"/>
        <v>#DIV/0!</v>
      </c>
      <c r="AC65" s="210" t="e">
        <f t="shared" si="1"/>
        <v>#DIV/0!</v>
      </c>
    </row>
    <row r="66" spans="2:29" ht="35.1" customHeight="1" thickBot="1" x14ac:dyDescent="0.25">
      <c r="B66" s="218"/>
      <c r="C66" s="218"/>
      <c r="D66" s="218"/>
      <c r="E66" s="218"/>
      <c r="F66" s="219"/>
      <c r="G66" s="220"/>
      <c r="H66" s="220"/>
      <c r="I66" s="221"/>
      <c r="J66" s="222"/>
      <c r="K66" s="221"/>
      <c r="L66" s="222"/>
      <c r="M66" s="223"/>
      <c r="N66" s="222"/>
      <c r="O66" s="223"/>
      <c r="P66" s="222"/>
      <c r="Q66" s="223"/>
      <c r="R66" s="222"/>
      <c r="S66" s="223"/>
      <c r="T66" s="222"/>
      <c r="U66" s="223"/>
      <c r="V66" s="222"/>
      <c r="W66" s="223"/>
      <c r="X66" s="222"/>
      <c r="Y66" s="223"/>
      <c r="Z66" s="222"/>
      <c r="AA66" s="223"/>
      <c r="AB66" s="217" t="e">
        <f t="shared" si="0"/>
        <v>#DIV/0!</v>
      </c>
      <c r="AC66" s="210" t="e">
        <f t="shared" si="1"/>
        <v>#DIV/0!</v>
      </c>
    </row>
    <row r="67" spans="2:29" ht="35.1" customHeight="1" thickTop="1" x14ac:dyDescent="0.2">
      <c r="B67" s="205"/>
      <c r="C67" s="205"/>
      <c r="D67" s="205"/>
      <c r="E67" s="205"/>
      <c r="F67" s="205"/>
      <c r="G67" s="206"/>
      <c r="H67" s="206"/>
      <c r="I67" s="207"/>
      <c r="J67" s="208"/>
      <c r="K67" s="207"/>
      <c r="L67" s="208"/>
      <c r="M67" s="209"/>
      <c r="N67" s="208"/>
      <c r="O67" s="209"/>
      <c r="P67" s="208"/>
      <c r="Q67" s="209"/>
      <c r="R67" s="208"/>
      <c r="S67" s="209"/>
      <c r="T67" s="208"/>
      <c r="U67" s="209"/>
      <c r="V67" s="208"/>
      <c r="W67" s="209"/>
      <c r="X67" s="208"/>
      <c r="Y67" s="209"/>
      <c r="Z67" s="208"/>
      <c r="AA67" s="209"/>
      <c r="AB67" s="217" t="e">
        <f t="shared" si="0"/>
        <v>#DIV/0!</v>
      </c>
      <c r="AC67" s="210" t="e">
        <f t="shared" si="1"/>
        <v>#DIV/0!</v>
      </c>
    </row>
    <row r="68" spans="2:29" ht="35.1" customHeight="1" x14ac:dyDescent="0.2">
      <c r="B68" s="211"/>
      <c r="C68" s="211"/>
      <c r="D68" s="211"/>
      <c r="E68" s="211"/>
      <c r="F68" s="212"/>
      <c r="G68" s="213"/>
      <c r="H68" s="213"/>
      <c r="I68" s="214"/>
      <c r="J68" s="215"/>
      <c r="K68" s="214"/>
      <c r="L68" s="215"/>
      <c r="M68" s="216"/>
      <c r="N68" s="215"/>
      <c r="O68" s="216"/>
      <c r="P68" s="215"/>
      <c r="Q68" s="216"/>
      <c r="R68" s="215"/>
      <c r="S68" s="216"/>
      <c r="T68" s="215"/>
      <c r="U68" s="216"/>
      <c r="V68" s="215"/>
      <c r="W68" s="216"/>
      <c r="X68" s="215"/>
      <c r="Y68" s="216"/>
      <c r="Z68" s="215"/>
      <c r="AA68" s="216"/>
      <c r="AB68" s="217" t="e">
        <f t="shared" ref="AB68:AB131" si="2">N68/I68</f>
        <v>#DIV/0!</v>
      </c>
      <c r="AC68" s="210" t="e">
        <f t="shared" si="1"/>
        <v>#DIV/0!</v>
      </c>
    </row>
    <row r="69" spans="2:29" ht="35.1" customHeight="1" x14ac:dyDescent="0.2">
      <c r="B69" s="211"/>
      <c r="C69" s="211"/>
      <c r="D69" s="211"/>
      <c r="E69" s="211"/>
      <c r="F69" s="212"/>
      <c r="G69" s="213"/>
      <c r="H69" s="213"/>
      <c r="I69" s="214"/>
      <c r="J69" s="215"/>
      <c r="K69" s="214"/>
      <c r="L69" s="215"/>
      <c r="M69" s="216"/>
      <c r="N69" s="215"/>
      <c r="O69" s="216"/>
      <c r="P69" s="215"/>
      <c r="Q69" s="216"/>
      <c r="R69" s="215"/>
      <c r="S69" s="216"/>
      <c r="T69" s="215"/>
      <c r="U69" s="216"/>
      <c r="V69" s="215"/>
      <c r="W69" s="216"/>
      <c r="X69" s="215"/>
      <c r="Y69" s="216"/>
      <c r="Z69" s="215"/>
      <c r="AA69" s="216"/>
      <c r="AB69" s="217" t="e">
        <f t="shared" si="2"/>
        <v>#DIV/0!</v>
      </c>
      <c r="AC69" s="210" t="e">
        <f t="shared" ref="AC69:AC132" si="3">X69/N69</f>
        <v>#DIV/0!</v>
      </c>
    </row>
    <row r="70" spans="2:29" ht="35.1" customHeight="1" x14ac:dyDescent="0.2">
      <c r="B70" s="211"/>
      <c r="C70" s="211"/>
      <c r="D70" s="211"/>
      <c r="E70" s="211"/>
      <c r="F70" s="212"/>
      <c r="G70" s="213"/>
      <c r="H70" s="213"/>
      <c r="I70" s="214"/>
      <c r="J70" s="215"/>
      <c r="K70" s="214"/>
      <c r="L70" s="215"/>
      <c r="M70" s="216"/>
      <c r="N70" s="215"/>
      <c r="O70" s="216"/>
      <c r="P70" s="215"/>
      <c r="Q70" s="216"/>
      <c r="R70" s="215"/>
      <c r="S70" s="216"/>
      <c r="T70" s="215"/>
      <c r="U70" s="216"/>
      <c r="V70" s="215"/>
      <c r="W70" s="216"/>
      <c r="X70" s="215"/>
      <c r="Y70" s="216"/>
      <c r="Z70" s="215"/>
      <c r="AA70" s="216"/>
      <c r="AB70" s="217" t="e">
        <f t="shared" si="2"/>
        <v>#DIV/0!</v>
      </c>
      <c r="AC70" s="210" t="e">
        <f t="shared" si="3"/>
        <v>#DIV/0!</v>
      </c>
    </row>
    <row r="71" spans="2:29" ht="35.1" customHeight="1" x14ac:dyDescent="0.2">
      <c r="B71" s="211"/>
      <c r="C71" s="211"/>
      <c r="D71" s="211"/>
      <c r="E71" s="211"/>
      <c r="F71" s="212"/>
      <c r="G71" s="213"/>
      <c r="H71" s="213"/>
      <c r="I71" s="214"/>
      <c r="J71" s="215"/>
      <c r="K71" s="214"/>
      <c r="L71" s="215"/>
      <c r="M71" s="216"/>
      <c r="N71" s="215"/>
      <c r="O71" s="216"/>
      <c r="P71" s="215"/>
      <c r="Q71" s="216"/>
      <c r="R71" s="215"/>
      <c r="S71" s="216"/>
      <c r="T71" s="215"/>
      <c r="U71" s="216"/>
      <c r="V71" s="215"/>
      <c r="W71" s="216"/>
      <c r="X71" s="215"/>
      <c r="Y71" s="216"/>
      <c r="Z71" s="215"/>
      <c r="AA71" s="216"/>
      <c r="AB71" s="217" t="e">
        <f t="shared" si="2"/>
        <v>#DIV/0!</v>
      </c>
      <c r="AC71" s="210" t="e">
        <f t="shared" si="3"/>
        <v>#DIV/0!</v>
      </c>
    </row>
    <row r="72" spans="2:29" ht="47.25" customHeight="1" x14ac:dyDescent="0.2">
      <c r="B72" s="211"/>
      <c r="C72" s="211"/>
      <c r="D72" s="211"/>
      <c r="E72" s="211"/>
      <c r="F72" s="212"/>
      <c r="G72" s="213"/>
      <c r="H72" s="213"/>
      <c r="I72" s="214"/>
      <c r="J72" s="215"/>
      <c r="K72" s="214"/>
      <c r="L72" s="215"/>
      <c r="M72" s="216"/>
      <c r="N72" s="215"/>
      <c r="O72" s="216"/>
      <c r="P72" s="215"/>
      <c r="Q72" s="216"/>
      <c r="R72" s="215"/>
      <c r="S72" s="216"/>
      <c r="T72" s="215"/>
      <c r="U72" s="216"/>
      <c r="V72" s="215"/>
      <c r="W72" s="216"/>
      <c r="X72" s="215"/>
      <c r="Y72" s="216"/>
      <c r="Z72" s="215"/>
      <c r="AA72" s="216"/>
      <c r="AB72" s="217" t="e">
        <f t="shared" si="2"/>
        <v>#DIV/0!</v>
      </c>
      <c r="AC72" s="210" t="e">
        <f t="shared" si="3"/>
        <v>#DIV/0!</v>
      </c>
    </row>
    <row r="73" spans="2:29" ht="35.1" customHeight="1" thickBot="1" x14ac:dyDescent="0.25">
      <c r="B73" s="218"/>
      <c r="C73" s="218"/>
      <c r="D73" s="218"/>
      <c r="E73" s="218"/>
      <c r="F73" s="219"/>
      <c r="G73" s="220"/>
      <c r="H73" s="220"/>
      <c r="I73" s="221"/>
      <c r="J73" s="222"/>
      <c r="K73" s="221"/>
      <c r="L73" s="222"/>
      <c r="M73" s="223"/>
      <c r="N73" s="222"/>
      <c r="O73" s="223"/>
      <c r="P73" s="222"/>
      <c r="Q73" s="223"/>
      <c r="R73" s="222"/>
      <c r="S73" s="223"/>
      <c r="T73" s="222"/>
      <c r="U73" s="223"/>
      <c r="V73" s="222"/>
      <c r="W73" s="223"/>
      <c r="X73" s="222"/>
      <c r="Y73" s="223"/>
      <c r="Z73" s="222"/>
      <c r="AA73" s="223"/>
      <c r="AB73" s="217" t="e">
        <f t="shared" si="2"/>
        <v>#DIV/0!</v>
      </c>
      <c r="AC73" s="210" t="e">
        <f t="shared" si="3"/>
        <v>#DIV/0!</v>
      </c>
    </row>
    <row r="74" spans="2:29" ht="35.1" customHeight="1" thickTop="1" x14ac:dyDescent="0.2">
      <c r="B74" s="205"/>
      <c r="C74" s="205"/>
      <c r="D74" s="205"/>
      <c r="E74" s="205"/>
      <c r="F74" s="205"/>
      <c r="G74" s="206"/>
      <c r="H74" s="206"/>
      <c r="I74" s="207"/>
      <c r="J74" s="208"/>
      <c r="K74" s="207"/>
      <c r="L74" s="208"/>
      <c r="M74" s="209"/>
      <c r="N74" s="208"/>
      <c r="O74" s="209"/>
      <c r="P74" s="208"/>
      <c r="Q74" s="209"/>
      <c r="R74" s="208"/>
      <c r="S74" s="209"/>
      <c r="T74" s="208"/>
      <c r="U74" s="209"/>
      <c r="V74" s="208"/>
      <c r="W74" s="209"/>
      <c r="X74" s="208"/>
      <c r="Y74" s="209"/>
      <c r="Z74" s="208"/>
      <c r="AA74" s="209"/>
      <c r="AB74" s="217" t="e">
        <f t="shared" si="2"/>
        <v>#DIV/0!</v>
      </c>
      <c r="AC74" s="210" t="e">
        <f t="shared" si="3"/>
        <v>#DIV/0!</v>
      </c>
    </row>
    <row r="75" spans="2:29" ht="35.1" customHeight="1" x14ac:dyDescent="0.2">
      <c r="B75" s="211"/>
      <c r="C75" s="211"/>
      <c r="D75" s="211"/>
      <c r="E75" s="211"/>
      <c r="F75" s="212"/>
      <c r="G75" s="213"/>
      <c r="H75" s="213"/>
      <c r="I75" s="214"/>
      <c r="J75" s="215"/>
      <c r="K75" s="214"/>
      <c r="L75" s="215"/>
      <c r="M75" s="216"/>
      <c r="N75" s="215"/>
      <c r="O75" s="216"/>
      <c r="P75" s="215"/>
      <c r="Q75" s="216"/>
      <c r="R75" s="215"/>
      <c r="S75" s="216"/>
      <c r="T75" s="215"/>
      <c r="U75" s="216"/>
      <c r="V75" s="215"/>
      <c r="W75" s="216"/>
      <c r="X75" s="215"/>
      <c r="Y75" s="216"/>
      <c r="Z75" s="215"/>
      <c r="AA75" s="216"/>
      <c r="AB75" s="217" t="e">
        <f t="shared" si="2"/>
        <v>#DIV/0!</v>
      </c>
      <c r="AC75" s="210" t="e">
        <f t="shared" si="3"/>
        <v>#DIV/0!</v>
      </c>
    </row>
    <row r="76" spans="2:29" ht="35.1" customHeight="1" x14ac:dyDescent="0.2">
      <c r="B76" s="211"/>
      <c r="C76" s="211"/>
      <c r="D76" s="211"/>
      <c r="E76" s="211"/>
      <c r="F76" s="212"/>
      <c r="G76" s="213"/>
      <c r="H76" s="213"/>
      <c r="I76" s="214"/>
      <c r="J76" s="215"/>
      <c r="K76" s="214"/>
      <c r="L76" s="215"/>
      <c r="M76" s="216"/>
      <c r="N76" s="215"/>
      <c r="O76" s="216"/>
      <c r="P76" s="215"/>
      <c r="Q76" s="216"/>
      <c r="R76" s="215"/>
      <c r="S76" s="216"/>
      <c r="T76" s="215"/>
      <c r="U76" s="216"/>
      <c r="V76" s="215"/>
      <c r="W76" s="216"/>
      <c r="X76" s="215"/>
      <c r="Y76" s="216"/>
      <c r="Z76" s="215"/>
      <c r="AA76" s="216"/>
      <c r="AB76" s="217" t="e">
        <f t="shared" si="2"/>
        <v>#DIV/0!</v>
      </c>
      <c r="AC76" s="210" t="e">
        <f t="shared" si="3"/>
        <v>#DIV/0!</v>
      </c>
    </row>
    <row r="77" spans="2:29" ht="35.1" customHeight="1" x14ac:dyDescent="0.2">
      <c r="B77" s="211"/>
      <c r="C77" s="211"/>
      <c r="D77" s="211"/>
      <c r="E77" s="211"/>
      <c r="F77" s="212"/>
      <c r="G77" s="213"/>
      <c r="H77" s="213"/>
      <c r="I77" s="214"/>
      <c r="J77" s="215"/>
      <c r="K77" s="214"/>
      <c r="L77" s="215"/>
      <c r="M77" s="216"/>
      <c r="N77" s="215"/>
      <c r="O77" s="216"/>
      <c r="P77" s="215"/>
      <c r="Q77" s="216"/>
      <c r="R77" s="215"/>
      <c r="S77" s="216"/>
      <c r="T77" s="215"/>
      <c r="U77" s="216"/>
      <c r="V77" s="215"/>
      <c r="W77" s="216"/>
      <c r="X77" s="215"/>
      <c r="Y77" s="216"/>
      <c r="Z77" s="215"/>
      <c r="AA77" s="216"/>
      <c r="AB77" s="217" t="e">
        <f t="shared" si="2"/>
        <v>#DIV/0!</v>
      </c>
      <c r="AC77" s="210" t="e">
        <f t="shared" si="3"/>
        <v>#DIV/0!</v>
      </c>
    </row>
    <row r="78" spans="2:29" ht="35.1" customHeight="1" x14ac:dyDescent="0.2">
      <c r="B78" s="211"/>
      <c r="C78" s="211"/>
      <c r="D78" s="211"/>
      <c r="E78" s="211"/>
      <c r="F78" s="212"/>
      <c r="G78" s="213"/>
      <c r="H78" s="213"/>
      <c r="I78" s="214"/>
      <c r="J78" s="215"/>
      <c r="K78" s="214"/>
      <c r="L78" s="215"/>
      <c r="M78" s="216"/>
      <c r="N78" s="215"/>
      <c r="O78" s="216"/>
      <c r="P78" s="215"/>
      <c r="Q78" s="216"/>
      <c r="R78" s="215"/>
      <c r="S78" s="216"/>
      <c r="T78" s="215"/>
      <c r="U78" s="216"/>
      <c r="V78" s="215"/>
      <c r="W78" s="216"/>
      <c r="X78" s="215"/>
      <c r="Y78" s="216"/>
      <c r="Z78" s="215"/>
      <c r="AA78" s="216"/>
      <c r="AB78" s="217" t="e">
        <f t="shared" si="2"/>
        <v>#DIV/0!</v>
      </c>
      <c r="AC78" s="210" t="e">
        <f t="shared" si="3"/>
        <v>#DIV/0!</v>
      </c>
    </row>
    <row r="79" spans="2:29" ht="47.25" customHeight="1" x14ac:dyDescent="0.2">
      <c r="B79" s="211"/>
      <c r="C79" s="211"/>
      <c r="D79" s="211"/>
      <c r="E79" s="211"/>
      <c r="F79" s="212"/>
      <c r="G79" s="213"/>
      <c r="H79" s="213"/>
      <c r="I79" s="214"/>
      <c r="J79" s="215"/>
      <c r="K79" s="214"/>
      <c r="L79" s="215"/>
      <c r="M79" s="216"/>
      <c r="N79" s="215"/>
      <c r="O79" s="216"/>
      <c r="P79" s="215"/>
      <c r="Q79" s="216"/>
      <c r="R79" s="215"/>
      <c r="S79" s="216"/>
      <c r="T79" s="215"/>
      <c r="U79" s="216"/>
      <c r="V79" s="215"/>
      <c r="W79" s="216"/>
      <c r="X79" s="215"/>
      <c r="Y79" s="216"/>
      <c r="Z79" s="215"/>
      <c r="AA79" s="216"/>
      <c r="AB79" s="217" t="e">
        <f t="shared" si="2"/>
        <v>#DIV/0!</v>
      </c>
      <c r="AC79" s="210" t="e">
        <f t="shared" si="3"/>
        <v>#DIV/0!</v>
      </c>
    </row>
    <row r="80" spans="2:29" ht="35.1" customHeight="1" thickBot="1" x14ac:dyDescent="0.25">
      <c r="B80" s="218"/>
      <c r="C80" s="218"/>
      <c r="D80" s="218"/>
      <c r="E80" s="218"/>
      <c r="F80" s="219"/>
      <c r="G80" s="220"/>
      <c r="H80" s="220"/>
      <c r="I80" s="221"/>
      <c r="J80" s="222"/>
      <c r="K80" s="221"/>
      <c r="L80" s="222"/>
      <c r="M80" s="223"/>
      <c r="N80" s="222"/>
      <c r="O80" s="223"/>
      <c r="P80" s="222"/>
      <c r="Q80" s="223"/>
      <c r="R80" s="222"/>
      <c r="S80" s="223"/>
      <c r="T80" s="222"/>
      <c r="U80" s="223"/>
      <c r="V80" s="222"/>
      <c r="W80" s="223"/>
      <c r="X80" s="222"/>
      <c r="Y80" s="223"/>
      <c r="Z80" s="222"/>
      <c r="AA80" s="223"/>
      <c r="AB80" s="217" t="e">
        <f t="shared" si="2"/>
        <v>#DIV/0!</v>
      </c>
      <c r="AC80" s="210" t="e">
        <f t="shared" si="3"/>
        <v>#DIV/0!</v>
      </c>
    </row>
    <row r="81" spans="2:29" ht="35.1" customHeight="1" thickTop="1" x14ac:dyDescent="0.2">
      <c r="B81" s="205"/>
      <c r="C81" s="205"/>
      <c r="D81" s="205"/>
      <c r="E81" s="205"/>
      <c r="F81" s="205"/>
      <c r="G81" s="206"/>
      <c r="H81" s="206"/>
      <c r="I81" s="207"/>
      <c r="J81" s="208"/>
      <c r="K81" s="207"/>
      <c r="L81" s="208"/>
      <c r="M81" s="209"/>
      <c r="N81" s="208"/>
      <c r="O81" s="209"/>
      <c r="P81" s="208"/>
      <c r="Q81" s="209"/>
      <c r="R81" s="208"/>
      <c r="S81" s="209"/>
      <c r="T81" s="208"/>
      <c r="U81" s="209"/>
      <c r="V81" s="208"/>
      <c r="W81" s="209"/>
      <c r="X81" s="208"/>
      <c r="Y81" s="209"/>
      <c r="Z81" s="208"/>
      <c r="AA81" s="209"/>
      <c r="AB81" s="217" t="e">
        <f t="shared" si="2"/>
        <v>#DIV/0!</v>
      </c>
      <c r="AC81" s="210" t="e">
        <f t="shared" si="3"/>
        <v>#DIV/0!</v>
      </c>
    </row>
    <row r="82" spans="2:29" ht="35.1" customHeight="1" x14ac:dyDescent="0.2">
      <c r="B82" s="211"/>
      <c r="C82" s="211"/>
      <c r="D82" s="211"/>
      <c r="E82" s="211"/>
      <c r="F82" s="212"/>
      <c r="G82" s="213"/>
      <c r="H82" s="213"/>
      <c r="I82" s="214"/>
      <c r="J82" s="215"/>
      <c r="K82" s="214"/>
      <c r="L82" s="215"/>
      <c r="M82" s="216"/>
      <c r="N82" s="215"/>
      <c r="O82" s="216"/>
      <c r="P82" s="215"/>
      <c r="Q82" s="216"/>
      <c r="R82" s="215"/>
      <c r="S82" s="216"/>
      <c r="T82" s="215"/>
      <c r="U82" s="216"/>
      <c r="V82" s="215"/>
      <c r="W82" s="216"/>
      <c r="X82" s="215"/>
      <c r="Y82" s="216"/>
      <c r="Z82" s="215"/>
      <c r="AA82" s="216"/>
      <c r="AB82" s="217" t="e">
        <f t="shared" si="2"/>
        <v>#DIV/0!</v>
      </c>
      <c r="AC82" s="210" t="e">
        <f t="shared" si="3"/>
        <v>#DIV/0!</v>
      </c>
    </row>
    <row r="83" spans="2:29" ht="35.1" customHeight="1" x14ac:dyDescent="0.2">
      <c r="B83" s="211"/>
      <c r="C83" s="211"/>
      <c r="D83" s="211"/>
      <c r="E83" s="211"/>
      <c r="F83" s="212"/>
      <c r="G83" s="213"/>
      <c r="H83" s="213"/>
      <c r="I83" s="214"/>
      <c r="J83" s="215"/>
      <c r="K83" s="214"/>
      <c r="L83" s="215"/>
      <c r="M83" s="216"/>
      <c r="N83" s="215"/>
      <c r="O83" s="216"/>
      <c r="P83" s="215"/>
      <c r="Q83" s="216"/>
      <c r="R83" s="215"/>
      <c r="S83" s="216"/>
      <c r="T83" s="215"/>
      <c r="U83" s="216"/>
      <c r="V83" s="215"/>
      <c r="W83" s="216"/>
      <c r="X83" s="215"/>
      <c r="Y83" s="216"/>
      <c r="Z83" s="215"/>
      <c r="AA83" s="216"/>
      <c r="AB83" s="217" t="e">
        <f t="shared" si="2"/>
        <v>#DIV/0!</v>
      </c>
      <c r="AC83" s="210" t="e">
        <f t="shared" si="3"/>
        <v>#DIV/0!</v>
      </c>
    </row>
    <row r="84" spans="2:29" ht="35.1" customHeight="1" x14ac:dyDescent="0.2">
      <c r="B84" s="211"/>
      <c r="C84" s="211"/>
      <c r="D84" s="211"/>
      <c r="E84" s="211"/>
      <c r="F84" s="212"/>
      <c r="G84" s="213"/>
      <c r="H84" s="213"/>
      <c r="I84" s="214"/>
      <c r="J84" s="215"/>
      <c r="K84" s="214"/>
      <c r="L84" s="215"/>
      <c r="M84" s="216"/>
      <c r="N84" s="215"/>
      <c r="O84" s="216"/>
      <c r="P84" s="215"/>
      <c r="Q84" s="216"/>
      <c r="R84" s="215"/>
      <c r="S84" s="216"/>
      <c r="T84" s="215"/>
      <c r="U84" s="216"/>
      <c r="V84" s="215"/>
      <c r="W84" s="216"/>
      <c r="X84" s="215"/>
      <c r="Y84" s="216"/>
      <c r="Z84" s="215"/>
      <c r="AA84" s="216"/>
      <c r="AB84" s="217" t="e">
        <f t="shared" si="2"/>
        <v>#DIV/0!</v>
      </c>
      <c r="AC84" s="210" t="e">
        <f t="shared" si="3"/>
        <v>#DIV/0!</v>
      </c>
    </row>
    <row r="85" spans="2:29" ht="35.1" customHeight="1" x14ac:dyDescent="0.2">
      <c r="B85" s="211"/>
      <c r="C85" s="211"/>
      <c r="D85" s="211"/>
      <c r="E85" s="211"/>
      <c r="F85" s="212"/>
      <c r="G85" s="213"/>
      <c r="H85" s="213"/>
      <c r="I85" s="214"/>
      <c r="J85" s="215"/>
      <c r="K85" s="214"/>
      <c r="L85" s="215"/>
      <c r="M85" s="216"/>
      <c r="N85" s="215"/>
      <c r="O85" s="216"/>
      <c r="P85" s="215"/>
      <c r="Q85" s="216"/>
      <c r="R85" s="215"/>
      <c r="S85" s="216"/>
      <c r="T85" s="215"/>
      <c r="U85" s="216"/>
      <c r="V85" s="215"/>
      <c r="W85" s="216"/>
      <c r="X85" s="215"/>
      <c r="Y85" s="216"/>
      <c r="Z85" s="215"/>
      <c r="AA85" s="216"/>
      <c r="AB85" s="217" t="e">
        <f t="shared" si="2"/>
        <v>#DIV/0!</v>
      </c>
      <c r="AC85" s="210" t="e">
        <f t="shared" si="3"/>
        <v>#DIV/0!</v>
      </c>
    </row>
    <row r="86" spans="2:29" ht="47.25" customHeight="1" x14ac:dyDescent="0.2">
      <c r="B86" s="211"/>
      <c r="C86" s="211"/>
      <c r="D86" s="211"/>
      <c r="E86" s="211"/>
      <c r="F86" s="212"/>
      <c r="G86" s="213"/>
      <c r="H86" s="213"/>
      <c r="I86" s="214"/>
      <c r="J86" s="215"/>
      <c r="K86" s="214"/>
      <c r="L86" s="215"/>
      <c r="M86" s="216"/>
      <c r="N86" s="215"/>
      <c r="O86" s="216"/>
      <c r="P86" s="215"/>
      <c r="Q86" s="216"/>
      <c r="R86" s="215"/>
      <c r="S86" s="216"/>
      <c r="T86" s="215"/>
      <c r="U86" s="216"/>
      <c r="V86" s="215"/>
      <c r="W86" s="216"/>
      <c r="X86" s="215"/>
      <c r="Y86" s="216"/>
      <c r="Z86" s="215"/>
      <c r="AA86" s="216"/>
      <c r="AB86" s="217" t="e">
        <f t="shared" si="2"/>
        <v>#DIV/0!</v>
      </c>
      <c r="AC86" s="210" t="e">
        <f t="shared" si="3"/>
        <v>#DIV/0!</v>
      </c>
    </row>
    <row r="87" spans="2:29" ht="35.1" customHeight="1" thickBot="1" x14ac:dyDescent="0.25">
      <c r="B87" s="218"/>
      <c r="C87" s="218"/>
      <c r="D87" s="218"/>
      <c r="E87" s="218"/>
      <c r="F87" s="219"/>
      <c r="G87" s="220"/>
      <c r="H87" s="220"/>
      <c r="I87" s="221"/>
      <c r="J87" s="222"/>
      <c r="K87" s="221"/>
      <c r="L87" s="222"/>
      <c r="M87" s="223"/>
      <c r="N87" s="222"/>
      <c r="O87" s="223"/>
      <c r="P87" s="222"/>
      <c r="Q87" s="223"/>
      <c r="R87" s="222"/>
      <c r="S87" s="223"/>
      <c r="T87" s="222"/>
      <c r="U87" s="223"/>
      <c r="V87" s="222"/>
      <c r="W87" s="223"/>
      <c r="X87" s="222"/>
      <c r="Y87" s="223"/>
      <c r="Z87" s="222"/>
      <c r="AA87" s="223"/>
      <c r="AB87" s="217" t="e">
        <f t="shared" si="2"/>
        <v>#DIV/0!</v>
      </c>
      <c r="AC87" s="210" t="e">
        <f t="shared" si="3"/>
        <v>#DIV/0!</v>
      </c>
    </row>
    <row r="88" spans="2:29" ht="35.1" customHeight="1" thickTop="1" x14ac:dyDescent="0.2">
      <c r="B88" s="205"/>
      <c r="C88" s="205"/>
      <c r="D88" s="205"/>
      <c r="E88" s="205"/>
      <c r="F88" s="205"/>
      <c r="G88" s="206"/>
      <c r="H88" s="206"/>
      <c r="I88" s="207"/>
      <c r="J88" s="208"/>
      <c r="K88" s="207"/>
      <c r="L88" s="208"/>
      <c r="M88" s="209"/>
      <c r="N88" s="208"/>
      <c r="O88" s="209"/>
      <c r="P88" s="208"/>
      <c r="Q88" s="209"/>
      <c r="R88" s="208"/>
      <c r="S88" s="209"/>
      <c r="T88" s="208"/>
      <c r="U88" s="209"/>
      <c r="V88" s="208"/>
      <c r="W88" s="209"/>
      <c r="X88" s="208"/>
      <c r="Y88" s="209"/>
      <c r="Z88" s="208"/>
      <c r="AA88" s="209"/>
      <c r="AB88" s="217" t="e">
        <f t="shared" si="2"/>
        <v>#DIV/0!</v>
      </c>
      <c r="AC88" s="210" t="e">
        <f t="shared" si="3"/>
        <v>#DIV/0!</v>
      </c>
    </row>
    <row r="89" spans="2:29" ht="35.1" customHeight="1" x14ac:dyDescent="0.2">
      <c r="B89" s="211"/>
      <c r="C89" s="211"/>
      <c r="D89" s="211"/>
      <c r="E89" s="211"/>
      <c r="F89" s="212"/>
      <c r="G89" s="213"/>
      <c r="H89" s="213"/>
      <c r="I89" s="214"/>
      <c r="J89" s="215"/>
      <c r="K89" s="214"/>
      <c r="L89" s="215"/>
      <c r="M89" s="216"/>
      <c r="N89" s="215"/>
      <c r="O89" s="216"/>
      <c r="P89" s="215"/>
      <c r="Q89" s="216"/>
      <c r="R89" s="215"/>
      <c r="S89" s="216"/>
      <c r="T89" s="215"/>
      <c r="U89" s="216"/>
      <c r="V89" s="215"/>
      <c r="W89" s="216"/>
      <c r="X89" s="215"/>
      <c r="Y89" s="216"/>
      <c r="Z89" s="215"/>
      <c r="AA89" s="216"/>
      <c r="AB89" s="217" t="e">
        <f t="shared" si="2"/>
        <v>#DIV/0!</v>
      </c>
      <c r="AC89" s="210" t="e">
        <f t="shared" si="3"/>
        <v>#DIV/0!</v>
      </c>
    </row>
    <row r="90" spans="2:29" ht="35.1" customHeight="1" x14ac:dyDescent="0.2">
      <c r="B90" s="211"/>
      <c r="C90" s="211"/>
      <c r="D90" s="211"/>
      <c r="E90" s="211"/>
      <c r="F90" s="212"/>
      <c r="G90" s="213"/>
      <c r="H90" s="213"/>
      <c r="I90" s="214"/>
      <c r="J90" s="215"/>
      <c r="K90" s="214"/>
      <c r="L90" s="215"/>
      <c r="M90" s="216"/>
      <c r="N90" s="215"/>
      <c r="O90" s="216"/>
      <c r="P90" s="215"/>
      <c r="Q90" s="216"/>
      <c r="R90" s="215"/>
      <c r="S90" s="216"/>
      <c r="T90" s="215"/>
      <c r="U90" s="216"/>
      <c r="V90" s="215"/>
      <c r="W90" s="216"/>
      <c r="X90" s="215"/>
      <c r="Y90" s="216"/>
      <c r="Z90" s="215"/>
      <c r="AA90" s="216"/>
      <c r="AB90" s="217" t="e">
        <f t="shared" si="2"/>
        <v>#DIV/0!</v>
      </c>
      <c r="AC90" s="210" t="e">
        <f t="shared" si="3"/>
        <v>#DIV/0!</v>
      </c>
    </row>
    <row r="91" spans="2:29" ht="35.1" customHeight="1" x14ac:dyDescent="0.2">
      <c r="B91" s="211"/>
      <c r="C91" s="211"/>
      <c r="D91" s="211"/>
      <c r="E91" s="211"/>
      <c r="F91" s="212"/>
      <c r="G91" s="213"/>
      <c r="H91" s="213"/>
      <c r="I91" s="214"/>
      <c r="J91" s="215"/>
      <c r="K91" s="214"/>
      <c r="L91" s="215"/>
      <c r="M91" s="216"/>
      <c r="N91" s="215"/>
      <c r="O91" s="216"/>
      <c r="P91" s="215"/>
      <c r="Q91" s="216"/>
      <c r="R91" s="215"/>
      <c r="S91" s="216"/>
      <c r="T91" s="215"/>
      <c r="U91" s="216"/>
      <c r="V91" s="215"/>
      <c r="W91" s="216"/>
      <c r="X91" s="215"/>
      <c r="Y91" s="216"/>
      <c r="Z91" s="215"/>
      <c r="AA91" s="216"/>
      <c r="AB91" s="217" t="e">
        <f t="shared" si="2"/>
        <v>#DIV/0!</v>
      </c>
      <c r="AC91" s="210" t="e">
        <f t="shared" si="3"/>
        <v>#DIV/0!</v>
      </c>
    </row>
    <row r="92" spans="2:29" ht="35.1" customHeight="1" x14ac:dyDescent="0.2">
      <c r="B92" s="211"/>
      <c r="C92" s="211"/>
      <c r="D92" s="211"/>
      <c r="E92" s="211"/>
      <c r="F92" s="212"/>
      <c r="G92" s="213"/>
      <c r="H92" s="213"/>
      <c r="I92" s="214"/>
      <c r="J92" s="215"/>
      <c r="K92" s="214"/>
      <c r="L92" s="215"/>
      <c r="M92" s="216"/>
      <c r="N92" s="215"/>
      <c r="O92" s="216"/>
      <c r="P92" s="215"/>
      <c r="Q92" s="216"/>
      <c r="R92" s="215"/>
      <c r="S92" s="216"/>
      <c r="T92" s="215"/>
      <c r="U92" s="216"/>
      <c r="V92" s="215"/>
      <c r="W92" s="216"/>
      <c r="X92" s="215"/>
      <c r="Y92" s="216"/>
      <c r="Z92" s="215"/>
      <c r="AA92" s="216"/>
      <c r="AB92" s="217" t="e">
        <f t="shared" si="2"/>
        <v>#DIV/0!</v>
      </c>
      <c r="AC92" s="210" t="e">
        <f t="shared" si="3"/>
        <v>#DIV/0!</v>
      </c>
    </row>
    <row r="93" spans="2:29" ht="47.25" customHeight="1" x14ac:dyDescent="0.2">
      <c r="B93" s="211"/>
      <c r="C93" s="211"/>
      <c r="D93" s="211"/>
      <c r="E93" s="211"/>
      <c r="F93" s="212"/>
      <c r="G93" s="213"/>
      <c r="H93" s="213"/>
      <c r="I93" s="214"/>
      <c r="J93" s="215"/>
      <c r="K93" s="214"/>
      <c r="L93" s="215"/>
      <c r="M93" s="216"/>
      <c r="N93" s="215"/>
      <c r="O93" s="216"/>
      <c r="P93" s="215"/>
      <c r="Q93" s="216"/>
      <c r="R93" s="215"/>
      <c r="S93" s="216"/>
      <c r="T93" s="215"/>
      <c r="U93" s="216"/>
      <c r="V93" s="215"/>
      <c r="W93" s="216"/>
      <c r="X93" s="215"/>
      <c r="Y93" s="216"/>
      <c r="Z93" s="215"/>
      <c r="AA93" s="216"/>
      <c r="AB93" s="217" t="e">
        <f t="shared" si="2"/>
        <v>#DIV/0!</v>
      </c>
      <c r="AC93" s="210" t="e">
        <f t="shared" si="3"/>
        <v>#DIV/0!</v>
      </c>
    </row>
    <row r="94" spans="2:29" ht="35.1" customHeight="1" thickBot="1" x14ac:dyDescent="0.25">
      <c r="B94" s="218"/>
      <c r="C94" s="218"/>
      <c r="D94" s="218"/>
      <c r="E94" s="218"/>
      <c r="F94" s="219"/>
      <c r="G94" s="220"/>
      <c r="H94" s="220"/>
      <c r="I94" s="221"/>
      <c r="J94" s="222"/>
      <c r="K94" s="221"/>
      <c r="L94" s="222"/>
      <c r="M94" s="223"/>
      <c r="N94" s="222"/>
      <c r="O94" s="223"/>
      <c r="P94" s="222"/>
      <c r="Q94" s="223"/>
      <c r="R94" s="222"/>
      <c r="S94" s="223"/>
      <c r="T94" s="222"/>
      <c r="U94" s="223"/>
      <c r="V94" s="222"/>
      <c r="W94" s="223"/>
      <c r="X94" s="222"/>
      <c r="Y94" s="223"/>
      <c r="Z94" s="222"/>
      <c r="AA94" s="223"/>
      <c r="AB94" s="217" t="e">
        <f t="shared" si="2"/>
        <v>#DIV/0!</v>
      </c>
      <c r="AC94" s="210" t="e">
        <f t="shared" si="3"/>
        <v>#DIV/0!</v>
      </c>
    </row>
    <row r="95" spans="2:29" ht="35.1" customHeight="1" thickTop="1" x14ac:dyDescent="0.2">
      <c r="B95" s="205"/>
      <c r="C95" s="205"/>
      <c r="D95" s="205"/>
      <c r="E95" s="205"/>
      <c r="F95" s="205"/>
      <c r="G95" s="206"/>
      <c r="H95" s="206"/>
      <c r="I95" s="207"/>
      <c r="J95" s="208"/>
      <c r="K95" s="207"/>
      <c r="L95" s="208"/>
      <c r="M95" s="209"/>
      <c r="N95" s="208"/>
      <c r="O95" s="209"/>
      <c r="P95" s="208"/>
      <c r="Q95" s="209"/>
      <c r="R95" s="208"/>
      <c r="S95" s="209"/>
      <c r="T95" s="208"/>
      <c r="U95" s="209"/>
      <c r="V95" s="208"/>
      <c r="W95" s="209"/>
      <c r="X95" s="208"/>
      <c r="Y95" s="209"/>
      <c r="Z95" s="208"/>
      <c r="AA95" s="209"/>
      <c r="AB95" s="217" t="e">
        <f t="shared" si="2"/>
        <v>#DIV/0!</v>
      </c>
      <c r="AC95" s="210" t="e">
        <f t="shared" si="3"/>
        <v>#DIV/0!</v>
      </c>
    </row>
    <row r="96" spans="2:29" ht="35.1" customHeight="1" x14ac:dyDescent="0.2">
      <c r="B96" s="211"/>
      <c r="C96" s="211"/>
      <c r="D96" s="211"/>
      <c r="E96" s="211"/>
      <c r="F96" s="212"/>
      <c r="G96" s="213"/>
      <c r="H96" s="213"/>
      <c r="I96" s="214"/>
      <c r="J96" s="215"/>
      <c r="K96" s="214"/>
      <c r="L96" s="215"/>
      <c r="M96" s="216"/>
      <c r="N96" s="215"/>
      <c r="O96" s="216"/>
      <c r="P96" s="215"/>
      <c r="Q96" s="216"/>
      <c r="R96" s="215"/>
      <c r="S96" s="216"/>
      <c r="T96" s="215"/>
      <c r="U96" s="216"/>
      <c r="V96" s="215"/>
      <c r="W96" s="216"/>
      <c r="X96" s="215"/>
      <c r="Y96" s="216"/>
      <c r="Z96" s="215"/>
      <c r="AA96" s="216"/>
      <c r="AB96" s="217" t="e">
        <f t="shared" si="2"/>
        <v>#DIV/0!</v>
      </c>
      <c r="AC96" s="210" t="e">
        <f t="shared" si="3"/>
        <v>#DIV/0!</v>
      </c>
    </row>
    <row r="97" spans="2:29" ht="35.1" customHeight="1" x14ac:dyDescent="0.2">
      <c r="B97" s="211"/>
      <c r="C97" s="211"/>
      <c r="D97" s="211"/>
      <c r="E97" s="211"/>
      <c r="F97" s="212"/>
      <c r="G97" s="213"/>
      <c r="H97" s="213"/>
      <c r="I97" s="214"/>
      <c r="J97" s="215"/>
      <c r="K97" s="214"/>
      <c r="L97" s="215"/>
      <c r="M97" s="216"/>
      <c r="N97" s="215"/>
      <c r="O97" s="216"/>
      <c r="P97" s="215"/>
      <c r="Q97" s="216"/>
      <c r="R97" s="215"/>
      <c r="S97" s="216"/>
      <c r="T97" s="215"/>
      <c r="U97" s="216"/>
      <c r="V97" s="215"/>
      <c r="W97" s="216"/>
      <c r="X97" s="215"/>
      <c r="Y97" s="216"/>
      <c r="Z97" s="215"/>
      <c r="AA97" s="216"/>
      <c r="AB97" s="217" t="e">
        <f t="shared" si="2"/>
        <v>#DIV/0!</v>
      </c>
      <c r="AC97" s="210" t="e">
        <f t="shared" si="3"/>
        <v>#DIV/0!</v>
      </c>
    </row>
    <row r="98" spans="2:29" ht="35.1" customHeight="1" x14ac:dyDescent="0.2">
      <c r="B98" s="211"/>
      <c r="C98" s="211"/>
      <c r="D98" s="211"/>
      <c r="E98" s="211"/>
      <c r="F98" s="212"/>
      <c r="G98" s="213"/>
      <c r="H98" s="213"/>
      <c r="I98" s="214"/>
      <c r="J98" s="215"/>
      <c r="K98" s="214"/>
      <c r="L98" s="215"/>
      <c r="M98" s="216"/>
      <c r="N98" s="215"/>
      <c r="O98" s="216"/>
      <c r="P98" s="215"/>
      <c r="Q98" s="216"/>
      <c r="R98" s="215"/>
      <c r="S98" s="216"/>
      <c r="T98" s="215"/>
      <c r="U98" s="216"/>
      <c r="V98" s="215"/>
      <c r="W98" s="216"/>
      <c r="X98" s="215"/>
      <c r="Y98" s="216"/>
      <c r="Z98" s="215"/>
      <c r="AA98" s="216"/>
      <c r="AB98" s="217" t="e">
        <f t="shared" si="2"/>
        <v>#DIV/0!</v>
      </c>
      <c r="AC98" s="210" t="e">
        <f t="shared" si="3"/>
        <v>#DIV/0!</v>
      </c>
    </row>
    <row r="99" spans="2:29" ht="35.1" customHeight="1" x14ac:dyDescent="0.2">
      <c r="B99" s="211"/>
      <c r="C99" s="211"/>
      <c r="D99" s="211"/>
      <c r="E99" s="211"/>
      <c r="F99" s="212"/>
      <c r="G99" s="213"/>
      <c r="H99" s="213"/>
      <c r="I99" s="214"/>
      <c r="J99" s="215"/>
      <c r="K99" s="214"/>
      <c r="L99" s="215"/>
      <c r="M99" s="216"/>
      <c r="N99" s="215"/>
      <c r="O99" s="216"/>
      <c r="P99" s="215"/>
      <c r="Q99" s="216"/>
      <c r="R99" s="215"/>
      <c r="S99" s="216"/>
      <c r="T99" s="215"/>
      <c r="U99" s="216"/>
      <c r="V99" s="215"/>
      <c r="W99" s="216"/>
      <c r="X99" s="215"/>
      <c r="Y99" s="216"/>
      <c r="Z99" s="215"/>
      <c r="AA99" s="216"/>
      <c r="AB99" s="217" t="e">
        <f t="shared" si="2"/>
        <v>#DIV/0!</v>
      </c>
      <c r="AC99" s="210" t="e">
        <f t="shared" si="3"/>
        <v>#DIV/0!</v>
      </c>
    </row>
    <row r="100" spans="2:29" ht="47.25" customHeight="1" x14ac:dyDescent="0.2">
      <c r="B100" s="211"/>
      <c r="C100" s="211"/>
      <c r="D100" s="211"/>
      <c r="E100" s="211"/>
      <c r="F100" s="212"/>
      <c r="G100" s="213"/>
      <c r="H100" s="213"/>
      <c r="I100" s="214"/>
      <c r="J100" s="215"/>
      <c r="K100" s="214"/>
      <c r="L100" s="215"/>
      <c r="M100" s="216"/>
      <c r="N100" s="215"/>
      <c r="O100" s="216"/>
      <c r="P100" s="215"/>
      <c r="Q100" s="216"/>
      <c r="R100" s="215"/>
      <c r="S100" s="216"/>
      <c r="T100" s="215"/>
      <c r="U100" s="216"/>
      <c r="V100" s="215"/>
      <c r="W100" s="216"/>
      <c r="X100" s="215"/>
      <c r="Y100" s="216"/>
      <c r="Z100" s="215"/>
      <c r="AA100" s="216"/>
      <c r="AB100" s="217" t="e">
        <f t="shared" si="2"/>
        <v>#DIV/0!</v>
      </c>
      <c r="AC100" s="210" t="e">
        <f t="shared" si="3"/>
        <v>#DIV/0!</v>
      </c>
    </row>
    <row r="101" spans="2:29" ht="35.1" customHeight="1" thickBot="1" x14ac:dyDescent="0.25">
      <c r="B101" s="218"/>
      <c r="C101" s="218"/>
      <c r="D101" s="218"/>
      <c r="E101" s="218"/>
      <c r="F101" s="219"/>
      <c r="G101" s="220"/>
      <c r="H101" s="220"/>
      <c r="I101" s="221"/>
      <c r="J101" s="222"/>
      <c r="K101" s="221"/>
      <c r="L101" s="222"/>
      <c r="M101" s="223"/>
      <c r="N101" s="222"/>
      <c r="O101" s="223"/>
      <c r="P101" s="222"/>
      <c r="Q101" s="223"/>
      <c r="R101" s="222"/>
      <c r="S101" s="223"/>
      <c r="T101" s="222"/>
      <c r="U101" s="223"/>
      <c r="V101" s="222"/>
      <c r="W101" s="223"/>
      <c r="X101" s="222"/>
      <c r="Y101" s="223"/>
      <c r="Z101" s="222"/>
      <c r="AA101" s="223"/>
      <c r="AB101" s="217" t="e">
        <f t="shared" si="2"/>
        <v>#DIV/0!</v>
      </c>
      <c r="AC101" s="210" t="e">
        <f t="shared" si="3"/>
        <v>#DIV/0!</v>
      </c>
    </row>
    <row r="102" spans="2:29" ht="35.1" customHeight="1" thickTop="1" x14ac:dyDescent="0.2">
      <c r="B102" s="205"/>
      <c r="C102" s="205"/>
      <c r="D102" s="205"/>
      <c r="E102" s="205"/>
      <c r="F102" s="205"/>
      <c r="G102" s="206"/>
      <c r="H102" s="206"/>
      <c r="I102" s="207"/>
      <c r="J102" s="208"/>
      <c r="K102" s="207"/>
      <c r="L102" s="208"/>
      <c r="M102" s="209"/>
      <c r="N102" s="208"/>
      <c r="O102" s="209"/>
      <c r="P102" s="208"/>
      <c r="Q102" s="209"/>
      <c r="R102" s="208"/>
      <c r="S102" s="209"/>
      <c r="T102" s="208"/>
      <c r="U102" s="209"/>
      <c r="V102" s="208"/>
      <c r="W102" s="209"/>
      <c r="X102" s="208"/>
      <c r="Y102" s="209"/>
      <c r="Z102" s="208"/>
      <c r="AA102" s="209"/>
      <c r="AB102" s="217" t="e">
        <f t="shared" si="2"/>
        <v>#DIV/0!</v>
      </c>
      <c r="AC102" s="210" t="e">
        <f t="shared" si="3"/>
        <v>#DIV/0!</v>
      </c>
    </row>
    <row r="103" spans="2:29" ht="35.1" customHeight="1" x14ac:dyDescent="0.2">
      <c r="B103" s="211"/>
      <c r="C103" s="211"/>
      <c r="D103" s="211"/>
      <c r="E103" s="211"/>
      <c r="F103" s="212"/>
      <c r="G103" s="213"/>
      <c r="H103" s="213"/>
      <c r="I103" s="214"/>
      <c r="J103" s="215"/>
      <c r="K103" s="214"/>
      <c r="L103" s="215"/>
      <c r="M103" s="216"/>
      <c r="N103" s="215"/>
      <c r="O103" s="216"/>
      <c r="P103" s="215"/>
      <c r="Q103" s="216"/>
      <c r="R103" s="215"/>
      <c r="S103" s="216"/>
      <c r="T103" s="215"/>
      <c r="U103" s="216"/>
      <c r="V103" s="215"/>
      <c r="W103" s="216"/>
      <c r="X103" s="215"/>
      <c r="Y103" s="216"/>
      <c r="Z103" s="215"/>
      <c r="AA103" s="216"/>
      <c r="AB103" s="217" t="e">
        <f t="shared" si="2"/>
        <v>#DIV/0!</v>
      </c>
      <c r="AC103" s="210" t="e">
        <f t="shared" si="3"/>
        <v>#DIV/0!</v>
      </c>
    </row>
    <row r="104" spans="2:29" ht="35.1" customHeight="1" x14ac:dyDescent="0.2">
      <c r="B104" s="211"/>
      <c r="C104" s="211"/>
      <c r="D104" s="211"/>
      <c r="E104" s="211"/>
      <c r="F104" s="212"/>
      <c r="G104" s="213"/>
      <c r="H104" s="213"/>
      <c r="I104" s="214"/>
      <c r="J104" s="215"/>
      <c r="K104" s="214"/>
      <c r="L104" s="215"/>
      <c r="M104" s="216"/>
      <c r="N104" s="215"/>
      <c r="O104" s="216"/>
      <c r="P104" s="215"/>
      <c r="Q104" s="216"/>
      <c r="R104" s="215"/>
      <c r="S104" s="216"/>
      <c r="T104" s="215"/>
      <c r="U104" s="216"/>
      <c r="V104" s="215"/>
      <c r="W104" s="216"/>
      <c r="X104" s="215"/>
      <c r="Y104" s="216"/>
      <c r="Z104" s="215"/>
      <c r="AA104" s="216"/>
      <c r="AB104" s="217" t="e">
        <f t="shared" si="2"/>
        <v>#DIV/0!</v>
      </c>
      <c r="AC104" s="210" t="e">
        <f t="shared" si="3"/>
        <v>#DIV/0!</v>
      </c>
    </row>
    <row r="105" spans="2:29" ht="35.1" customHeight="1" x14ac:dyDescent="0.2">
      <c r="B105" s="211"/>
      <c r="C105" s="211"/>
      <c r="D105" s="211"/>
      <c r="E105" s="211"/>
      <c r="F105" s="212"/>
      <c r="G105" s="213"/>
      <c r="H105" s="213"/>
      <c r="I105" s="214"/>
      <c r="J105" s="215"/>
      <c r="K105" s="214"/>
      <c r="L105" s="215"/>
      <c r="M105" s="216"/>
      <c r="N105" s="215"/>
      <c r="O105" s="216"/>
      <c r="P105" s="215"/>
      <c r="Q105" s="216"/>
      <c r="R105" s="215"/>
      <c r="S105" s="216"/>
      <c r="T105" s="215"/>
      <c r="U105" s="216"/>
      <c r="V105" s="215"/>
      <c r="W105" s="216"/>
      <c r="X105" s="215"/>
      <c r="Y105" s="216"/>
      <c r="Z105" s="215"/>
      <c r="AA105" s="216"/>
      <c r="AB105" s="217" t="e">
        <f t="shared" si="2"/>
        <v>#DIV/0!</v>
      </c>
      <c r="AC105" s="210" t="e">
        <f t="shared" si="3"/>
        <v>#DIV/0!</v>
      </c>
    </row>
    <row r="106" spans="2:29" ht="35.1" customHeight="1" x14ac:dyDescent="0.2">
      <c r="B106" s="211"/>
      <c r="C106" s="211"/>
      <c r="D106" s="211"/>
      <c r="E106" s="211"/>
      <c r="F106" s="212"/>
      <c r="G106" s="213"/>
      <c r="H106" s="213"/>
      <c r="I106" s="214"/>
      <c r="J106" s="215"/>
      <c r="K106" s="214"/>
      <c r="L106" s="215"/>
      <c r="M106" s="216"/>
      <c r="N106" s="215"/>
      <c r="O106" s="216"/>
      <c r="P106" s="215"/>
      <c r="Q106" s="216"/>
      <c r="R106" s="215"/>
      <c r="S106" s="216"/>
      <c r="T106" s="215"/>
      <c r="U106" s="216"/>
      <c r="V106" s="215"/>
      <c r="W106" s="216"/>
      <c r="X106" s="215"/>
      <c r="Y106" s="216"/>
      <c r="Z106" s="215"/>
      <c r="AA106" s="216"/>
      <c r="AB106" s="217" t="e">
        <f t="shared" si="2"/>
        <v>#DIV/0!</v>
      </c>
      <c r="AC106" s="210" t="e">
        <f t="shared" si="3"/>
        <v>#DIV/0!</v>
      </c>
    </row>
    <row r="107" spans="2:29" ht="47.25" customHeight="1" x14ac:dyDescent="0.2">
      <c r="B107" s="211"/>
      <c r="C107" s="211"/>
      <c r="D107" s="211"/>
      <c r="E107" s="211"/>
      <c r="F107" s="212"/>
      <c r="G107" s="213"/>
      <c r="H107" s="213"/>
      <c r="I107" s="214"/>
      <c r="J107" s="215"/>
      <c r="K107" s="214"/>
      <c r="L107" s="215"/>
      <c r="M107" s="216"/>
      <c r="N107" s="215"/>
      <c r="O107" s="216"/>
      <c r="P107" s="215"/>
      <c r="Q107" s="216"/>
      <c r="R107" s="215"/>
      <c r="S107" s="216"/>
      <c r="T107" s="215"/>
      <c r="U107" s="216"/>
      <c r="V107" s="215"/>
      <c r="W107" s="216"/>
      <c r="X107" s="215"/>
      <c r="Y107" s="216"/>
      <c r="Z107" s="215"/>
      <c r="AA107" s="216"/>
      <c r="AB107" s="217" t="e">
        <f t="shared" si="2"/>
        <v>#DIV/0!</v>
      </c>
      <c r="AC107" s="210" t="e">
        <f t="shared" si="3"/>
        <v>#DIV/0!</v>
      </c>
    </row>
    <row r="108" spans="2:29" ht="35.1" customHeight="1" thickBot="1" x14ac:dyDescent="0.25">
      <c r="B108" s="218"/>
      <c r="C108" s="218"/>
      <c r="D108" s="218"/>
      <c r="E108" s="218"/>
      <c r="F108" s="219"/>
      <c r="G108" s="220"/>
      <c r="H108" s="220"/>
      <c r="I108" s="221"/>
      <c r="J108" s="222"/>
      <c r="K108" s="221"/>
      <c r="L108" s="222"/>
      <c r="M108" s="223"/>
      <c r="N108" s="222"/>
      <c r="O108" s="223"/>
      <c r="P108" s="222"/>
      <c r="Q108" s="223"/>
      <c r="R108" s="222"/>
      <c r="S108" s="223"/>
      <c r="T108" s="222"/>
      <c r="U108" s="223"/>
      <c r="V108" s="222"/>
      <c r="W108" s="223"/>
      <c r="X108" s="222"/>
      <c r="Y108" s="223"/>
      <c r="Z108" s="222"/>
      <c r="AA108" s="223"/>
      <c r="AB108" s="217" t="e">
        <f t="shared" si="2"/>
        <v>#DIV/0!</v>
      </c>
      <c r="AC108" s="210" t="e">
        <f t="shared" si="3"/>
        <v>#DIV/0!</v>
      </c>
    </row>
    <row r="109" spans="2:29" ht="35.1" customHeight="1" thickTop="1" x14ac:dyDescent="0.2">
      <c r="B109" s="205"/>
      <c r="C109" s="205"/>
      <c r="D109" s="205"/>
      <c r="E109" s="205"/>
      <c r="F109" s="205"/>
      <c r="G109" s="206"/>
      <c r="H109" s="206"/>
      <c r="I109" s="207"/>
      <c r="J109" s="208"/>
      <c r="K109" s="207"/>
      <c r="L109" s="208"/>
      <c r="M109" s="209"/>
      <c r="N109" s="208"/>
      <c r="O109" s="209"/>
      <c r="P109" s="208"/>
      <c r="Q109" s="209"/>
      <c r="R109" s="208"/>
      <c r="S109" s="209"/>
      <c r="T109" s="208"/>
      <c r="U109" s="209"/>
      <c r="V109" s="208"/>
      <c r="W109" s="209"/>
      <c r="X109" s="208"/>
      <c r="Y109" s="209"/>
      <c r="Z109" s="208"/>
      <c r="AA109" s="209"/>
      <c r="AB109" s="217" t="e">
        <f t="shared" si="2"/>
        <v>#DIV/0!</v>
      </c>
      <c r="AC109" s="210" t="e">
        <f t="shared" si="3"/>
        <v>#DIV/0!</v>
      </c>
    </row>
    <row r="110" spans="2:29" ht="35.1" customHeight="1" x14ac:dyDescent="0.2">
      <c r="B110" s="211"/>
      <c r="C110" s="211"/>
      <c r="D110" s="211"/>
      <c r="E110" s="211"/>
      <c r="F110" s="212"/>
      <c r="G110" s="213"/>
      <c r="H110" s="213"/>
      <c r="I110" s="214"/>
      <c r="J110" s="215"/>
      <c r="K110" s="214"/>
      <c r="L110" s="215"/>
      <c r="M110" s="216"/>
      <c r="N110" s="215"/>
      <c r="O110" s="216"/>
      <c r="P110" s="215"/>
      <c r="Q110" s="216"/>
      <c r="R110" s="215"/>
      <c r="S110" s="216"/>
      <c r="T110" s="215"/>
      <c r="U110" s="216"/>
      <c r="V110" s="215"/>
      <c r="W110" s="216"/>
      <c r="X110" s="215"/>
      <c r="Y110" s="216"/>
      <c r="Z110" s="215"/>
      <c r="AA110" s="216"/>
      <c r="AB110" s="217" t="e">
        <f t="shared" si="2"/>
        <v>#DIV/0!</v>
      </c>
      <c r="AC110" s="210" t="e">
        <f t="shared" si="3"/>
        <v>#DIV/0!</v>
      </c>
    </row>
    <row r="111" spans="2:29" ht="35.1" customHeight="1" x14ac:dyDescent="0.2">
      <c r="B111" s="211"/>
      <c r="C111" s="211"/>
      <c r="D111" s="211"/>
      <c r="E111" s="211"/>
      <c r="F111" s="212"/>
      <c r="G111" s="213"/>
      <c r="H111" s="213"/>
      <c r="I111" s="214"/>
      <c r="J111" s="215"/>
      <c r="K111" s="214"/>
      <c r="L111" s="215"/>
      <c r="M111" s="216"/>
      <c r="N111" s="215"/>
      <c r="O111" s="216"/>
      <c r="P111" s="215"/>
      <c r="Q111" s="216"/>
      <c r="R111" s="215"/>
      <c r="S111" s="216"/>
      <c r="T111" s="215"/>
      <c r="U111" s="216"/>
      <c r="V111" s="215"/>
      <c r="W111" s="216"/>
      <c r="X111" s="215"/>
      <c r="Y111" s="216"/>
      <c r="Z111" s="215"/>
      <c r="AA111" s="216"/>
      <c r="AB111" s="217" t="e">
        <f t="shared" si="2"/>
        <v>#DIV/0!</v>
      </c>
      <c r="AC111" s="210" t="e">
        <f t="shared" si="3"/>
        <v>#DIV/0!</v>
      </c>
    </row>
    <row r="112" spans="2:29" ht="35.1" customHeight="1" x14ac:dyDescent="0.2">
      <c r="B112" s="211"/>
      <c r="C112" s="211"/>
      <c r="D112" s="211"/>
      <c r="E112" s="211"/>
      <c r="F112" s="212"/>
      <c r="G112" s="213"/>
      <c r="H112" s="213"/>
      <c r="I112" s="214"/>
      <c r="J112" s="215"/>
      <c r="K112" s="214"/>
      <c r="L112" s="215"/>
      <c r="M112" s="216"/>
      <c r="N112" s="215"/>
      <c r="O112" s="216"/>
      <c r="P112" s="215"/>
      <c r="Q112" s="216"/>
      <c r="R112" s="215"/>
      <c r="S112" s="216"/>
      <c r="T112" s="215"/>
      <c r="U112" s="216"/>
      <c r="V112" s="215"/>
      <c r="W112" s="216"/>
      <c r="X112" s="215"/>
      <c r="Y112" s="216"/>
      <c r="Z112" s="215"/>
      <c r="AA112" s="216"/>
      <c r="AB112" s="217" t="e">
        <f t="shared" si="2"/>
        <v>#DIV/0!</v>
      </c>
      <c r="AC112" s="210" t="e">
        <f t="shared" si="3"/>
        <v>#DIV/0!</v>
      </c>
    </row>
    <row r="113" spans="2:29" ht="35.1" customHeight="1" x14ac:dyDescent="0.2">
      <c r="B113" s="211"/>
      <c r="C113" s="211"/>
      <c r="D113" s="211"/>
      <c r="E113" s="211"/>
      <c r="F113" s="212"/>
      <c r="G113" s="213"/>
      <c r="H113" s="213"/>
      <c r="I113" s="214"/>
      <c r="J113" s="215"/>
      <c r="K113" s="214"/>
      <c r="L113" s="215"/>
      <c r="M113" s="216"/>
      <c r="N113" s="215"/>
      <c r="O113" s="216"/>
      <c r="P113" s="215"/>
      <c r="Q113" s="216"/>
      <c r="R113" s="215"/>
      <c r="S113" s="216"/>
      <c r="T113" s="215"/>
      <c r="U113" s="216"/>
      <c r="V113" s="215"/>
      <c r="W113" s="216"/>
      <c r="X113" s="215"/>
      <c r="Y113" s="216"/>
      <c r="Z113" s="215"/>
      <c r="AA113" s="216"/>
      <c r="AB113" s="217" t="e">
        <f t="shared" si="2"/>
        <v>#DIV/0!</v>
      </c>
      <c r="AC113" s="210" t="e">
        <f t="shared" si="3"/>
        <v>#DIV/0!</v>
      </c>
    </row>
    <row r="114" spans="2:29" ht="47.25" customHeight="1" x14ac:dyDescent="0.2">
      <c r="B114" s="211"/>
      <c r="C114" s="211"/>
      <c r="D114" s="211"/>
      <c r="E114" s="211"/>
      <c r="F114" s="212"/>
      <c r="G114" s="213"/>
      <c r="H114" s="213"/>
      <c r="I114" s="214"/>
      <c r="J114" s="215"/>
      <c r="K114" s="214"/>
      <c r="L114" s="215"/>
      <c r="M114" s="216"/>
      <c r="N114" s="215"/>
      <c r="O114" s="216"/>
      <c r="P114" s="215"/>
      <c r="Q114" s="216"/>
      <c r="R114" s="215"/>
      <c r="S114" s="216"/>
      <c r="T114" s="215"/>
      <c r="U114" s="216"/>
      <c r="V114" s="215"/>
      <c r="W114" s="216"/>
      <c r="X114" s="215"/>
      <c r="Y114" s="216"/>
      <c r="Z114" s="215"/>
      <c r="AA114" s="216"/>
      <c r="AB114" s="217" t="e">
        <f t="shared" si="2"/>
        <v>#DIV/0!</v>
      </c>
      <c r="AC114" s="210" t="e">
        <f t="shared" si="3"/>
        <v>#DIV/0!</v>
      </c>
    </row>
    <row r="115" spans="2:29" ht="35.1" customHeight="1" thickBot="1" x14ac:dyDescent="0.25">
      <c r="B115" s="218"/>
      <c r="C115" s="218"/>
      <c r="D115" s="218"/>
      <c r="E115" s="218"/>
      <c r="F115" s="219"/>
      <c r="G115" s="220"/>
      <c r="H115" s="220"/>
      <c r="I115" s="221"/>
      <c r="J115" s="222"/>
      <c r="K115" s="221"/>
      <c r="L115" s="222"/>
      <c r="M115" s="223"/>
      <c r="N115" s="222"/>
      <c r="O115" s="223"/>
      <c r="P115" s="222"/>
      <c r="Q115" s="223"/>
      <c r="R115" s="222"/>
      <c r="S115" s="223"/>
      <c r="T115" s="222"/>
      <c r="U115" s="223"/>
      <c r="V115" s="222"/>
      <c r="W115" s="223"/>
      <c r="X115" s="222"/>
      <c r="Y115" s="223"/>
      <c r="Z115" s="222"/>
      <c r="AA115" s="223"/>
      <c r="AB115" s="217" t="e">
        <f t="shared" si="2"/>
        <v>#DIV/0!</v>
      </c>
      <c r="AC115" s="210" t="e">
        <f t="shared" si="3"/>
        <v>#DIV/0!</v>
      </c>
    </row>
    <row r="116" spans="2:29" ht="35.1" customHeight="1" thickTop="1" x14ac:dyDescent="0.2">
      <c r="B116" s="205"/>
      <c r="C116" s="205"/>
      <c r="D116" s="205"/>
      <c r="E116" s="205"/>
      <c r="F116" s="205"/>
      <c r="G116" s="206"/>
      <c r="H116" s="206"/>
      <c r="I116" s="207"/>
      <c r="J116" s="208"/>
      <c r="K116" s="207"/>
      <c r="L116" s="208"/>
      <c r="M116" s="209"/>
      <c r="N116" s="208"/>
      <c r="O116" s="209"/>
      <c r="P116" s="208"/>
      <c r="Q116" s="209"/>
      <c r="R116" s="208"/>
      <c r="S116" s="209"/>
      <c r="T116" s="208"/>
      <c r="U116" s="209"/>
      <c r="V116" s="208"/>
      <c r="W116" s="209"/>
      <c r="X116" s="208"/>
      <c r="Y116" s="209"/>
      <c r="Z116" s="208"/>
      <c r="AA116" s="209"/>
      <c r="AB116" s="217" t="e">
        <f t="shared" si="2"/>
        <v>#DIV/0!</v>
      </c>
      <c r="AC116" s="210" t="e">
        <f t="shared" si="3"/>
        <v>#DIV/0!</v>
      </c>
    </row>
    <row r="117" spans="2:29" ht="35.1" customHeight="1" x14ac:dyDescent="0.2">
      <c r="B117" s="211"/>
      <c r="C117" s="211"/>
      <c r="D117" s="211"/>
      <c r="E117" s="211"/>
      <c r="F117" s="212"/>
      <c r="G117" s="213"/>
      <c r="H117" s="213"/>
      <c r="I117" s="214"/>
      <c r="J117" s="215"/>
      <c r="K117" s="214"/>
      <c r="L117" s="215"/>
      <c r="M117" s="216"/>
      <c r="N117" s="215"/>
      <c r="O117" s="216"/>
      <c r="P117" s="215"/>
      <c r="Q117" s="216"/>
      <c r="R117" s="215"/>
      <c r="S117" s="216"/>
      <c r="T117" s="215"/>
      <c r="U117" s="216"/>
      <c r="V117" s="215"/>
      <c r="W117" s="216"/>
      <c r="X117" s="215"/>
      <c r="Y117" s="216"/>
      <c r="Z117" s="215"/>
      <c r="AA117" s="216"/>
      <c r="AB117" s="217" t="e">
        <f t="shared" si="2"/>
        <v>#DIV/0!</v>
      </c>
      <c r="AC117" s="210" t="e">
        <f t="shared" si="3"/>
        <v>#DIV/0!</v>
      </c>
    </row>
    <row r="118" spans="2:29" ht="35.1" customHeight="1" x14ac:dyDescent="0.2">
      <c r="B118" s="211"/>
      <c r="C118" s="211"/>
      <c r="D118" s="211"/>
      <c r="E118" s="211"/>
      <c r="F118" s="212"/>
      <c r="G118" s="213"/>
      <c r="H118" s="213"/>
      <c r="I118" s="214"/>
      <c r="J118" s="215"/>
      <c r="K118" s="214"/>
      <c r="L118" s="215"/>
      <c r="M118" s="216"/>
      <c r="N118" s="215"/>
      <c r="O118" s="216"/>
      <c r="P118" s="215"/>
      <c r="Q118" s="216"/>
      <c r="R118" s="215"/>
      <c r="S118" s="216"/>
      <c r="T118" s="215"/>
      <c r="U118" s="216"/>
      <c r="V118" s="215"/>
      <c r="W118" s="216"/>
      <c r="X118" s="215"/>
      <c r="Y118" s="216"/>
      <c r="Z118" s="215"/>
      <c r="AA118" s="216"/>
      <c r="AB118" s="217" t="e">
        <f t="shared" si="2"/>
        <v>#DIV/0!</v>
      </c>
      <c r="AC118" s="210" t="e">
        <f t="shared" si="3"/>
        <v>#DIV/0!</v>
      </c>
    </row>
    <row r="119" spans="2:29" ht="35.1" customHeight="1" x14ac:dyDescent="0.2">
      <c r="B119" s="211"/>
      <c r="C119" s="211"/>
      <c r="D119" s="211"/>
      <c r="E119" s="211"/>
      <c r="F119" s="212"/>
      <c r="G119" s="213"/>
      <c r="H119" s="213"/>
      <c r="I119" s="214"/>
      <c r="J119" s="215"/>
      <c r="K119" s="214"/>
      <c r="L119" s="215"/>
      <c r="M119" s="216"/>
      <c r="N119" s="215"/>
      <c r="O119" s="216"/>
      <c r="P119" s="215"/>
      <c r="Q119" s="216"/>
      <c r="R119" s="215"/>
      <c r="S119" s="216"/>
      <c r="T119" s="215"/>
      <c r="U119" s="216"/>
      <c r="V119" s="215"/>
      <c r="W119" s="216"/>
      <c r="X119" s="215"/>
      <c r="Y119" s="216"/>
      <c r="Z119" s="215"/>
      <c r="AA119" s="216"/>
      <c r="AB119" s="217" t="e">
        <f t="shared" si="2"/>
        <v>#DIV/0!</v>
      </c>
      <c r="AC119" s="210" t="e">
        <f t="shared" si="3"/>
        <v>#DIV/0!</v>
      </c>
    </row>
    <row r="120" spans="2:29" ht="35.1" customHeight="1" x14ac:dyDescent="0.2">
      <c r="B120" s="211"/>
      <c r="C120" s="211"/>
      <c r="D120" s="211"/>
      <c r="E120" s="211"/>
      <c r="F120" s="212"/>
      <c r="G120" s="213"/>
      <c r="H120" s="213"/>
      <c r="I120" s="214"/>
      <c r="J120" s="215"/>
      <c r="K120" s="214"/>
      <c r="L120" s="215"/>
      <c r="M120" s="216"/>
      <c r="N120" s="215"/>
      <c r="O120" s="216"/>
      <c r="P120" s="215"/>
      <c r="Q120" s="216"/>
      <c r="R120" s="215"/>
      <c r="S120" s="216"/>
      <c r="T120" s="215"/>
      <c r="U120" s="216"/>
      <c r="V120" s="215"/>
      <c r="W120" s="216"/>
      <c r="X120" s="215"/>
      <c r="Y120" s="216"/>
      <c r="Z120" s="215"/>
      <c r="AA120" s="216"/>
      <c r="AB120" s="217" t="e">
        <f t="shared" si="2"/>
        <v>#DIV/0!</v>
      </c>
      <c r="AC120" s="210" t="e">
        <f t="shared" si="3"/>
        <v>#DIV/0!</v>
      </c>
    </row>
    <row r="121" spans="2:29" ht="47.25" customHeight="1" x14ac:dyDescent="0.2">
      <c r="B121" s="211"/>
      <c r="C121" s="211"/>
      <c r="D121" s="211"/>
      <c r="E121" s="211"/>
      <c r="F121" s="212"/>
      <c r="G121" s="213"/>
      <c r="H121" s="213"/>
      <c r="I121" s="214"/>
      <c r="J121" s="215"/>
      <c r="K121" s="214"/>
      <c r="L121" s="215"/>
      <c r="M121" s="216"/>
      <c r="N121" s="215"/>
      <c r="O121" s="216"/>
      <c r="P121" s="215"/>
      <c r="Q121" s="216"/>
      <c r="R121" s="215"/>
      <c r="S121" s="216"/>
      <c r="T121" s="215"/>
      <c r="U121" s="216"/>
      <c r="V121" s="215"/>
      <c r="W121" s="216"/>
      <c r="X121" s="215"/>
      <c r="Y121" s="216"/>
      <c r="Z121" s="215"/>
      <c r="AA121" s="216"/>
      <c r="AB121" s="217" t="e">
        <f t="shared" si="2"/>
        <v>#DIV/0!</v>
      </c>
      <c r="AC121" s="210" t="e">
        <f t="shared" si="3"/>
        <v>#DIV/0!</v>
      </c>
    </row>
    <row r="122" spans="2:29" ht="35.1" customHeight="1" thickBot="1" x14ac:dyDescent="0.25">
      <c r="B122" s="218"/>
      <c r="C122" s="218"/>
      <c r="D122" s="218"/>
      <c r="E122" s="218"/>
      <c r="F122" s="219"/>
      <c r="G122" s="220"/>
      <c r="H122" s="220"/>
      <c r="I122" s="221"/>
      <c r="J122" s="222"/>
      <c r="K122" s="221"/>
      <c r="L122" s="222"/>
      <c r="M122" s="223"/>
      <c r="N122" s="222"/>
      <c r="O122" s="223"/>
      <c r="P122" s="222"/>
      <c r="Q122" s="223"/>
      <c r="R122" s="222"/>
      <c r="S122" s="223"/>
      <c r="T122" s="222"/>
      <c r="U122" s="223"/>
      <c r="V122" s="222"/>
      <c r="W122" s="223"/>
      <c r="X122" s="222"/>
      <c r="Y122" s="223"/>
      <c r="Z122" s="222"/>
      <c r="AA122" s="223"/>
      <c r="AB122" s="217" t="e">
        <f t="shared" si="2"/>
        <v>#DIV/0!</v>
      </c>
      <c r="AC122" s="210" t="e">
        <f t="shared" si="3"/>
        <v>#DIV/0!</v>
      </c>
    </row>
    <row r="123" spans="2:29" ht="35.1" customHeight="1" thickTop="1" x14ac:dyDescent="0.2">
      <c r="B123" s="205"/>
      <c r="C123" s="205"/>
      <c r="D123" s="205"/>
      <c r="E123" s="205"/>
      <c r="F123" s="205"/>
      <c r="G123" s="206"/>
      <c r="H123" s="206"/>
      <c r="I123" s="207"/>
      <c r="J123" s="208"/>
      <c r="K123" s="207"/>
      <c r="L123" s="208"/>
      <c r="M123" s="209"/>
      <c r="N123" s="208"/>
      <c r="O123" s="209"/>
      <c r="P123" s="208"/>
      <c r="Q123" s="209"/>
      <c r="R123" s="208"/>
      <c r="S123" s="209"/>
      <c r="T123" s="208"/>
      <c r="U123" s="209"/>
      <c r="V123" s="208"/>
      <c r="W123" s="209"/>
      <c r="X123" s="208"/>
      <c r="Y123" s="209"/>
      <c r="Z123" s="208"/>
      <c r="AA123" s="209"/>
      <c r="AB123" s="217" t="e">
        <f t="shared" si="2"/>
        <v>#DIV/0!</v>
      </c>
      <c r="AC123" s="210" t="e">
        <f t="shared" si="3"/>
        <v>#DIV/0!</v>
      </c>
    </row>
    <row r="124" spans="2:29" ht="35.1" customHeight="1" x14ac:dyDescent="0.2">
      <c r="B124" s="211"/>
      <c r="C124" s="211"/>
      <c r="D124" s="211"/>
      <c r="E124" s="211"/>
      <c r="F124" s="212"/>
      <c r="G124" s="213"/>
      <c r="H124" s="213"/>
      <c r="I124" s="214"/>
      <c r="J124" s="215"/>
      <c r="K124" s="214"/>
      <c r="L124" s="215"/>
      <c r="M124" s="216"/>
      <c r="N124" s="215"/>
      <c r="O124" s="216"/>
      <c r="P124" s="215"/>
      <c r="Q124" s="216"/>
      <c r="R124" s="215"/>
      <c r="S124" s="216"/>
      <c r="T124" s="215"/>
      <c r="U124" s="216"/>
      <c r="V124" s="215"/>
      <c r="W124" s="216"/>
      <c r="X124" s="215"/>
      <c r="Y124" s="216"/>
      <c r="Z124" s="215"/>
      <c r="AA124" s="216"/>
      <c r="AB124" s="217" t="e">
        <f t="shared" si="2"/>
        <v>#DIV/0!</v>
      </c>
      <c r="AC124" s="210" t="e">
        <f t="shared" si="3"/>
        <v>#DIV/0!</v>
      </c>
    </row>
    <row r="125" spans="2:29" ht="35.1" customHeight="1" x14ac:dyDescent="0.2">
      <c r="B125" s="211"/>
      <c r="C125" s="211"/>
      <c r="D125" s="211"/>
      <c r="E125" s="211"/>
      <c r="F125" s="212"/>
      <c r="G125" s="213"/>
      <c r="H125" s="213"/>
      <c r="I125" s="214"/>
      <c r="J125" s="215"/>
      <c r="K125" s="214"/>
      <c r="L125" s="215"/>
      <c r="M125" s="216"/>
      <c r="N125" s="215"/>
      <c r="O125" s="216"/>
      <c r="P125" s="215"/>
      <c r="Q125" s="216"/>
      <c r="R125" s="215"/>
      <c r="S125" s="216"/>
      <c r="T125" s="215"/>
      <c r="U125" s="216"/>
      <c r="V125" s="215"/>
      <c r="W125" s="216"/>
      <c r="X125" s="215"/>
      <c r="Y125" s="216"/>
      <c r="Z125" s="215"/>
      <c r="AA125" s="216"/>
      <c r="AB125" s="217" t="e">
        <f t="shared" si="2"/>
        <v>#DIV/0!</v>
      </c>
      <c r="AC125" s="210" t="e">
        <f t="shared" si="3"/>
        <v>#DIV/0!</v>
      </c>
    </row>
    <row r="126" spans="2:29" ht="35.1" customHeight="1" x14ac:dyDescent="0.2">
      <c r="B126" s="211"/>
      <c r="C126" s="211"/>
      <c r="D126" s="211"/>
      <c r="E126" s="211"/>
      <c r="F126" s="212"/>
      <c r="G126" s="213"/>
      <c r="H126" s="213"/>
      <c r="I126" s="214"/>
      <c r="J126" s="215"/>
      <c r="K126" s="214"/>
      <c r="L126" s="215"/>
      <c r="M126" s="216"/>
      <c r="N126" s="215"/>
      <c r="O126" s="216"/>
      <c r="P126" s="215"/>
      <c r="Q126" s="216"/>
      <c r="R126" s="215"/>
      <c r="S126" s="216"/>
      <c r="T126" s="215"/>
      <c r="U126" s="216"/>
      <c r="V126" s="215"/>
      <c r="W126" s="216"/>
      <c r="X126" s="215"/>
      <c r="Y126" s="216"/>
      <c r="Z126" s="215"/>
      <c r="AA126" s="216"/>
      <c r="AB126" s="217" t="e">
        <f t="shared" si="2"/>
        <v>#DIV/0!</v>
      </c>
      <c r="AC126" s="210" t="e">
        <f t="shared" si="3"/>
        <v>#DIV/0!</v>
      </c>
    </row>
    <row r="127" spans="2:29" ht="35.1" customHeight="1" x14ac:dyDescent="0.2">
      <c r="B127" s="211"/>
      <c r="C127" s="211"/>
      <c r="D127" s="211"/>
      <c r="E127" s="211"/>
      <c r="F127" s="212"/>
      <c r="G127" s="213"/>
      <c r="H127" s="213"/>
      <c r="I127" s="214"/>
      <c r="J127" s="215"/>
      <c r="K127" s="214"/>
      <c r="L127" s="215"/>
      <c r="M127" s="216"/>
      <c r="N127" s="215"/>
      <c r="O127" s="216"/>
      <c r="P127" s="215"/>
      <c r="Q127" s="216"/>
      <c r="R127" s="215"/>
      <c r="S127" s="216"/>
      <c r="T127" s="215"/>
      <c r="U127" s="216"/>
      <c r="V127" s="215"/>
      <c r="W127" s="216"/>
      <c r="X127" s="215"/>
      <c r="Y127" s="216"/>
      <c r="Z127" s="215"/>
      <c r="AA127" s="216"/>
      <c r="AB127" s="217" t="e">
        <f t="shared" si="2"/>
        <v>#DIV/0!</v>
      </c>
      <c r="AC127" s="210" t="e">
        <f t="shared" si="3"/>
        <v>#DIV/0!</v>
      </c>
    </row>
    <row r="128" spans="2:29" ht="47.25" customHeight="1" x14ac:dyDescent="0.2">
      <c r="B128" s="211"/>
      <c r="C128" s="211"/>
      <c r="D128" s="211"/>
      <c r="E128" s="211"/>
      <c r="F128" s="212"/>
      <c r="G128" s="213"/>
      <c r="H128" s="213"/>
      <c r="I128" s="214"/>
      <c r="J128" s="215"/>
      <c r="K128" s="214"/>
      <c r="L128" s="215"/>
      <c r="M128" s="216"/>
      <c r="N128" s="215"/>
      <c r="O128" s="216"/>
      <c r="P128" s="215"/>
      <c r="Q128" s="216"/>
      <c r="R128" s="215"/>
      <c r="S128" s="216"/>
      <c r="T128" s="215"/>
      <c r="U128" s="216"/>
      <c r="V128" s="215"/>
      <c r="W128" s="216"/>
      <c r="X128" s="215"/>
      <c r="Y128" s="216"/>
      <c r="Z128" s="215"/>
      <c r="AA128" s="216"/>
      <c r="AB128" s="217" t="e">
        <f t="shared" si="2"/>
        <v>#DIV/0!</v>
      </c>
      <c r="AC128" s="210" t="e">
        <f t="shared" si="3"/>
        <v>#DIV/0!</v>
      </c>
    </row>
    <row r="129" spans="2:29" ht="35.1" customHeight="1" thickBot="1" x14ac:dyDescent="0.25">
      <c r="B129" s="218"/>
      <c r="C129" s="218"/>
      <c r="D129" s="218"/>
      <c r="E129" s="218"/>
      <c r="F129" s="219"/>
      <c r="G129" s="220"/>
      <c r="H129" s="220"/>
      <c r="I129" s="221"/>
      <c r="J129" s="222"/>
      <c r="K129" s="221"/>
      <c r="L129" s="222"/>
      <c r="M129" s="223"/>
      <c r="N129" s="222"/>
      <c r="O129" s="223"/>
      <c r="P129" s="222"/>
      <c r="Q129" s="223"/>
      <c r="R129" s="222"/>
      <c r="S129" s="223"/>
      <c r="T129" s="222"/>
      <c r="U129" s="223"/>
      <c r="V129" s="222"/>
      <c r="W129" s="223"/>
      <c r="X129" s="222"/>
      <c r="Y129" s="223"/>
      <c r="Z129" s="222"/>
      <c r="AA129" s="223"/>
      <c r="AB129" s="217" t="e">
        <f t="shared" si="2"/>
        <v>#DIV/0!</v>
      </c>
      <c r="AC129" s="210" t="e">
        <f t="shared" si="3"/>
        <v>#DIV/0!</v>
      </c>
    </row>
    <row r="130" spans="2:29" ht="35.1" customHeight="1" thickTop="1" x14ac:dyDescent="0.2">
      <c r="B130" s="205"/>
      <c r="C130" s="205"/>
      <c r="D130" s="205"/>
      <c r="E130" s="205"/>
      <c r="F130" s="205"/>
      <c r="G130" s="206"/>
      <c r="H130" s="206"/>
      <c r="I130" s="207"/>
      <c r="J130" s="208"/>
      <c r="K130" s="207"/>
      <c r="L130" s="208"/>
      <c r="M130" s="209"/>
      <c r="N130" s="208"/>
      <c r="O130" s="209"/>
      <c r="P130" s="208"/>
      <c r="Q130" s="209"/>
      <c r="R130" s="208"/>
      <c r="S130" s="209"/>
      <c r="T130" s="208"/>
      <c r="U130" s="209"/>
      <c r="V130" s="208"/>
      <c r="W130" s="209"/>
      <c r="X130" s="208"/>
      <c r="Y130" s="209"/>
      <c r="Z130" s="208"/>
      <c r="AA130" s="209"/>
      <c r="AB130" s="217" t="e">
        <f t="shared" si="2"/>
        <v>#DIV/0!</v>
      </c>
      <c r="AC130" s="210" t="e">
        <f t="shared" si="3"/>
        <v>#DIV/0!</v>
      </c>
    </row>
    <row r="131" spans="2:29" ht="35.1" customHeight="1" x14ac:dyDescent="0.2">
      <c r="B131" s="211"/>
      <c r="C131" s="211"/>
      <c r="D131" s="211"/>
      <c r="E131" s="211"/>
      <c r="F131" s="212"/>
      <c r="G131" s="213"/>
      <c r="H131" s="213"/>
      <c r="I131" s="214"/>
      <c r="J131" s="215"/>
      <c r="K131" s="214"/>
      <c r="L131" s="215"/>
      <c r="M131" s="216"/>
      <c r="N131" s="215"/>
      <c r="O131" s="216"/>
      <c r="P131" s="215"/>
      <c r="Q131" s="216"/>
      <c r="R131" s="215"/>
      <c r="S131" s="216"/>
      <c r="T131" s="215"/>
      <c r="U131" s="216"/>
      <c r="V131" s="215"/>
      <c r="W131" s="216"/>
      <c r="X131" s="215"/>
      <c r="Y131" s="216"/>
      <c r="Z131" s="215"/>
      <c r="AA131" s="216"/>
      <c r="AB131" s="217" t="e">
        <f t="shared" si="2"/>
        <v>#DIV/0!</v>
      </c>
      <c r="AC131" s="210" t="e">
        <f t="shared" si="3"/>
        <v>#DIV/0!</v>
      </c>
    </row>
    <row r="132" spans="2:29" ht="35.1" customHeight="1" x14ac:dyDescent="0.2">
      <c r="B132" s="211"/>
      <c r="C132" s="211"/>
      <c r="D132" s="211"/>
      <c r="E132" s="211"/>
      <c r="F132" s="212"/>
      <c r="G132" s="213"/>
      <c r="H132" s="213"/>
      <c r="I132" s="214"/>
      <c r="J132" s="215"/>
      <c r="K132" s="214"/>
      <c r="L132" s="215"/>
      <c r="M132" s="216"/>
      <c r="N132" s="215"/>
      <c r="O132" s="216"/>
      <c r="P132" s="215"/>
      <c r="Q132" s="216"/>
      <c r="R132" s="215"/>
      <c r="S132" s="216"/>
      <c r="T132" s="215"/>
      <c r="U132" s="216"/>
      <c r="V132" s="215"/>
      <c r="W132" s="216"/>
      <c r="X132" s="215"/>
      <c r="Y132" s="216"/>
      <c r="Z132" s="215"/>
      <c r="AA132" s="216"/>
      <c r="AB132" s="217" t="e">
        <f t="shared" ref="AB132:AB195" si="4">N132/I132</f>
        <v>#DIV/0!</v>
      </c>
      <c r="AC132" s="210" t="e">
        <f t="shared" si="3"/>
        <v>#DIV/0!</v>
      </c>
    </row>
    <row r="133" spans="2:29" ht="35.1" customHeight="1" x14ac:dyDescent="0.2">
      <c r="B133" s="211"/>
      <c r="C133" s="211"/>
      <c r="D133" s="211"/>
      <c r="E133" s="211"/>
      <c r="F133" s="212"/>
      <c r="G133" s="213"/>
      <c r="H133" s="213"/>
      <c r="I133" s="214"/>
      <c r="J133" s="215"/>
      <c r="K133" s="214"/>
      <c r="L133" s="215"/>
      <c r="M133" s="216"/>
      <c r="N133" s="215"/>
      <c r="O133" s="216"/>
      <c r="P133" s="215"/>
      <c r="Q133" s="216"/>
      <c r="R133" s="215"/>
      <c r="S133" s="216"/>
      <c r="T133" s="215"/>
      <c r="U133" s="216"/>
      <c r="V133" s="215"/>
      <c r="W133" s="216"/>
      <c r="X133" s="215"/>
      <c r="Y133" s="216"/>
      <c r="Z133" s="215"/>
      <c r="AA133" s="216"/>
      <c r="AB133" s="217" t="e">
        <f t="shared" si="4"/>
        <v>#DIV/0!</v>
      </c>
      <c r="AC133" s="210" t="e">
        <f t="shared" ref="AC133:AC196" si="5">X133/N133</f>
        <v>#DIV/0!</v>
      </c>
    </row>
    <row r="134" spans="2:29" ht="35.1" customHeight="1" x14ac:dyDescent="0.2">
      <c r="B134" s="211"/>
      <c r="C134" s="211"/>
      <c r="D134" s="211"/>
      <c r="E134" s="211"/>
      <c r="F134" s="212"/>
      <c r="G134" s="213"/>
      <c r="H134" s="213"/>
      <c r="I134" s="214"/>
      <c r="J134" s="215"/>
      <c r="K134" s="214"/>
      <c r="L134" s="215"/>
      <c r="M134" s="216"/>
      <c r="N134" s="215"/>
      <c r="O134" s="216"/>
      <c r="P134" s="215"/>
      <c r="Q134" s="216"/>
      <c r="R134" s="215"/>
      <c r="S134" s="216"/>
      <c r="T134" s="215"/>
      <c r="U134" s="216"/>
      <c r="V134" s="215"/>
      <c r="W134" s="216"/>
      <c r="X134" s="215"/>
      <c r="Y134" s="216"/>
      <c r="Z134" s="215"/>
      <c r="AA134" s="216"/>
      <c r="AB134" s="217" t="e">
        <f t="shared" si="4"/>
        <v>#DIV/0!</v>
      </c>
      <c r="AC134" s="210" t="e">
        <f t="shared" si="5"/>
        <v>#DIV/0!</v>
      </c>
    </row>
    <row r="135" spans="2:29" ht="47.25" customHeight="1" x14ac:dyDescent="0.2">
      <c r="B135" s="211"/>
      <c r="C135" s="211"/>
      <c r="D135" s="211"/>
      <c r="E135" s="211"/>
      <c r="F135" s="212"/>
      <c r="G135" s="213"/>
      <c r="H135" s="213"/>
      <c r="I135" s="214"/>
      <c r="J135" s="215"/>
      <c r="K135" s="214"/>
      <c r="L135" s="215"/>
      <c r="M135" s="216"/>
      <c r="N135" s="215"/>
      <c r="O135" s="216"/>
      <c r="P135" s="215"/>
      <c r="Q135" s="216"/>
      <c r="R135" s="215"/>
      <c r="S135" s="216"/>
      <c r="T135" s="215"/>
      <c r="U135" s="216"/>
      <c r="V135" s="215"/>
      <c r="W135" s="216"/>
      <c r="X135" s="215"/>
      <c r="Y135" s="216"/>
      <c r="Z135" s="215"/>
      <c r="AA135" s="216"/>
      <c r="AB135" s="217" t="e">
        <f t="shared" si="4"/>
        <v>#DIV/0!</v>
      </c>
      <c r="AC135" s="210" t="e">
        <f t="shared" si="5"/>
        <v>#DIV/0!</v>
      </c>
    </row>
    <row r="136" spans="2:29" ht="35.1" customHeight="1" thickBot="1" x14ac:dyDescent="0.25">
      <c r="B136" s="218"/>
      <c r="C136" s="218"/>
      <c r="D136" s="218"/>
      <c r="E136" s="218"/>
      <c r="F136" s="219"/>
      <c r="G136" s="220"/>
      <c r="H136" s="220"/>
      <c r="I136" s="221"/>
      <c r="J136" s="222"/>
      <c r="K136" s="221"/>
      <c r="L136" s="222"/>
      <c r="M136" s="223"/>
      <c r="N136" s="222"/>
      <c r="O136" s="223"/>
      <c r="P136" s="222"/>
      <c r="Q136" s="223"/>
      <c r="R136" s="222"/>
      <c r="S136" s="223"/>
      <c r="T136" s="222"/>
      <c r="U136" s="223"/>
      <c r="V136" s="222"/>
      <c r="W136" s="223"/>
      <c r="X136" s="222"/>
      <c r="Y136" s="223"/>
      <c r="Z136" s="222"/>
      <c r="AA136" s="223"/>
      <c r="AB136" s="217" t="e">
        <f t="shared" si="4"/>
        <v>#DIV/0!</v>
      </c>
      <c r="AC136" s="210" t="e">
        <f t="shared" si="5"/>
        <v>#DIV/0!</v>
      </c>
    </row>
    <row r="137" spans="2:29" ht="35.1" customHeight="1" thickTop="1" x14ac:dyDescent="0.2">
      <c r="B137" s="205"/>
      <c r="C137" s="205"/>
      <c r="D137" s="205"/>
      <c r="E137" s="205"/>
      <c r="F137" s="205"/>
      <c r="G137" s="206"/>
      <c r="H137" s="206"/>
      <c r="I137" s="207"/>
      <c r="J137" s="208"/>
      <c r="K137" s="207"/>
      <c r="L137" s="208"/>
      <c r="M137" s="209"/>
      <c r="N137" s="208"/>
      <c r="O137" s="209"/>
      <c r="P137" s="208"/>
      <c r="Q137" s="209"/>
      <c r="R137" s="208"/>
      <c r="S137" s="209"/>
      <c r="T137" s="208"/>
      <c r="U137" s="209"/>
      <c r="V137" s="208"/>
      <c r="W137" s="209"/>
      <c r="X137" s="208"/>
      <c r="Y137" s="209"/>
      <c r="Z137" s="208"/>
      <c r="AA137" s="209"/>
      <c r="AB137" s="217" t="e">
        <f t="shared" si="4"/>
        <v>#DIV/0!</v>
      </c>
      <c r="AC137" s="210" t="e">
        <f t="shared" si="5"/>
        <v>#DIV/0!</v>
      </c>
    </row>
    <row r="138" spans="2:29" ht="35.1" customHeight="1" x14ac:dyDescent="0.2">
      <c r="B138" s="211"/>
      <c r="C138" s="211"/>
      <c r="D138" s="211"/>
      <c r="E138" s="211"/>
      <c r="F138" s="212"/>
      <c r="G138" s="213"/>
      <c r="H138" s="213"/>
      <c r="I138" s="214"/>
      <c r="J138" s="215"/>
      <c r="K138" s="214"/>
      <c r="L138" s="215"/>
      <c r="M138" s="216"/>
      <c r="N138" s="215"/>
      <c r="O138" s="216"/>
      <c r="P138" s="215"/>
      <c r="Q138" s="216"/>
      <c r="R138" s="215"/>
      <c r="S138" s="216"/>
      <c r="T138" s="215"/>
      <c r="U138" s="216"/>
      <c r="V138" s="215"/>
      <c r="W138" s="216"/>
      <c r="X138" s="215"/>
      <c r="Y138" s="216"/>
      <c r="Z138" s="215"/>
      <c r="AA138" s="216"/>
      <c r="AB138" s="217" t="e">
        <f t="shared" si="4"/>
        <v>#DIV/0!</v>
      </c>
      <c r="AC138" s="210" t="e">
        <f t="shared" si="5"/>
        <v>#DIV/0!</v>
      </c>
    </row>
    <row r="139" spans="2:29" ht="35.1" customHeight="1" x14ac:dyDescent="0.2">
      <c r="B139" s="211"/>
      <c r="C139" s="211"/>
      <c r="D139" s="211"/>
      <c r="E139" s="211"/>
      <c r="F139" s="212"/>
      <c r="G139" s="213"/>
      <c r="H139" s="213"/>
      <c r="I139" s="214"/>
      <c r="J139" s="215"/>
      <c r="K139" s="214"/>
      <c r="L139" s="215"/>
      <c r="M139" s="216"/>
      <c r="N139" s="215"/>
      <c r="O139" s="216"/>
      <c r="P139" s="215"/>
      <c r="Q139" s="216"/>
      <c r="R139" s="215"/>
      <c r="S139" s="216"/>
      <c r="T139" s="215"/>
      <c r="U139" s="216"/>
      <c r="V139" s="215"/>
      <c r="W139" s="216"/>
      <c r="X139" s="215"/>
      <c r="Y139" s="216"/>
      <c r="Z139" s="215"/>
      <c r="AA139" s="216"/>
      <c r="AB139" s="217" t="e">
        <f t="shared" si="4"/>
        <v>#DIV/0!</v>
      </c>
      <c r="AC139" s="210" t="e">
        <f t="shared" si="5"/>
        <v>#DIV/0!</v>
      </c>
    </row>
    <row r="140" spans="2:29" ht="35.1" customHeight="1" x14ac:dyDescent="0.2">
      <c r="B140" s="211"/>
      <c r="C140" s="211"/>
      <c r="D140" s="211"/>
      <c r="E140" s="211"/>
      <c r="F140" s="212"/>
      <c r="G140" s="213"/>
      <c r="H140" s="213"/>
      <c r="I140" s="214"/>
      <c r="J140" s="215"/>
      <c r="K140" s="214"/>
      <c r="L140" s="215"/>
      <c r="M140" s="216"/>
      <c r="N140" s="215"/>
      <c r="O140" s="216"/>
      <c r="P140" s="215"/>
      <c r="Q140" s="216"/>
      <c r="R140" s="215"/>
      <c r="S140" s="216"/>
      <c r="T140" s="215"/>
      <c r="U140" s="216"/>
      <c r="V140" s="215"/>
      <c r="W140" s="216"/>
      <c r="X140" s="215"/>
      <c r="Y140" s="216"/>
      <c r="Z140" s="215"/>
      <c r="AA140" s="216"/>
      <c r="AB140" s="217" t="e">
        <f t="shared" si="4"/>
        <v>#DIV/0!</v>
      </c>
      <c r="AC140" s="210" t="e">
        <f t="shared" si="5"/>
        <v>#DIV/0!</v>
      </c>
    </row>
    <row r="141" spans="2:29" ht="35.1" customHeight="1" x14ac:dyDescent="0.2">
      <c r="B141" s="211"/>
      <c r="C141" s="211"/>
      <c r="D141" s="211"/>
      <c r="E141" s="211"/>
      <c r="F141" s="212"/>
      <c r="G141" s="213"/>
      <c r="H141" s="213"/>
      <c r="I141" s="214"/>
      <c r="J141" s="215"/>
      <c r="K141" s="214"/>
      <c r="L141" s="215"/>
      <c r="M141" s="216"/>
      <c r="N141" s="215"/>
      <c r="O141" s="216"/>
      <c r="P141" s="215"/>
      <c r="Q141" s="216"/>
      <c r="R141" s="215"/>
      <c r="S141" s="216"/>
      <c r="T141" s="215"/>
      <c r="U141" s="216"/>
      <c r="V141" s="215"/>
      <c r="W141" s="216"/>
      <c r="X141" s="215"/>
      <c r="Y141" s="216"/>
      <c r="Z141" s="215"/>
      <c r="AA141" s="216"/>
      <c r="AB141" s="217" t="e">
        <f t="shared" si="4"/>
        <v>#DIV/0!</v>
      </c>
      <c r="AC141" s="210" t="e">
        <f t="shared" si="5"/>
        <v>#DIV/0!</v>
      </c>
    </row>
    <row r="142" spans="2:29" ht="47.25" customHeight="1" x14ac:dyDescent="0.2">
      <c r="B142" s="211"/>
      <c r="C142" s="211"/>
      <c r="D142" s="211"/>
      <c r="E142" s="211"/>
      <c r="F142" s="212"/>
      <c r="G142" s="213"/>
      <c r="H142" s="213"/>
      <c r="I142" s="214"/>
      <c r="J142" s="215"/>
      <c r="K142" s="214"/>
      <c r="L142" s="215"/>
      <c r="M142" s="216"/>
      <c r="N142" s="215"/>
      <c r="O142" s="216"/>
      <c r="P142" s="215"/>
      <c r="Q142" s="216"/>
      <c r="R142" s="215"/>
      <c r="S142" s="216"/>
      <c r="T142" s="215"/>
      <c r="U142" s="216"/>
      <c r="V142" s="215"/>
      <c r="W142" s="216"/>
      <c r="X142" s="215"/>
      <c r="Y142" s="216"/>
      <c r="Z142" s="215"/>
      <c r="AA142" s="216"/>
      <c r="AB142" s="217" t="e">
        <f t="shared" si="4"/>
        <v>#DIV/0!</v>
      </c>
      <c r="AC142" s="210" t="e">
        <f t="shared" si="5"/>
        <v>#DIV/0!</v>
      </c>
    </row>
    <row r="143" spans="2:29" ht="35.1" customHeight="1" thickBot="1" x14ac:dyDescent="0.25">
      <c r="B143" s="218"/>
      <c r="C143" s="218"/>
      <c r="D143" s="218"/>
      <c r="E143" s="218"/>
      <c r="F143" s="219"/>
      <c r="G143" s="220"/>
      <c r="H143" s="220"/>
      <c r="I143" s="221"/>
      <c r="J143" s="222"/>
      <c r="K143" s="221"/>
      <c r="L143" s="222"/>
      <c r="M143" s="223"/>
      <c r="N143" s="222"/>
      <c r="O143" s="223"/>
      <c r="P143" s="222"/>
      <c r="Q143" s="223"/>
      <c r="R143" s="222"/>
      <c r="S143" s="223"/>
      <c r="T143" s="222"/>
      <c r="U143" s="223"/>
      <c r="V143" s="222"/>
      <c r="W143" s="223"/>
      <c r="X143" s="222"/>
      <c r="Y143" s="223"/>
      <c r="Z143" s="222"/>
      <c r="AA143" s="223"/>
      <c r="AB143" s="217" t="e">
        <f t="shared" si="4"/>
        <v>#DIV/0!</v>
      </c>
      <c r="AC143" s="210" t="e">
        <f t="shared" si="5"/>
        <v>#DIV/0!</v>
      </c>
    </row>
    <row r="144" spans="2:29" ht="35.1" customHeight="1" thickTop="1" x14ac:dyDescent="0.2">
      <c r="B144" s="205"/>
      <c r="C144" s="205"/>
      <c r="D144" s="205"/>
      <c r="E144" s="205"/>
      <c r="F144" s="205"/>
      <c r="G144" s="206"/>
      <c r="H144" s="206"/>
      <c r="I144" s="207"/>
      <c r="J144" s="208"/>
      <c r="K144" s="207"/>
      <c r="L144" s="208"/>
      <c r="M144" s="209"/>
      <c r="N144" s="208"/>
      <c r="O144" s="209"/>
      <c r="P144" s="208"/>
      <c r="Q144" s="209"/>
      <c r="R144" s="208"/>
      <c r="S144" s="209"/>
      <c r="T144" s="208"/>
      <c r="U144" s="209"/>
      <c r="V144" s="208"/>
      <c r="W144" s="209"/>
      <c r="X144" s="208"/>
      <c r="Y144" s="209"/>
      <c r="Z144" s="208"/>
      <c r="AA144" s="209"/>
      <c r="AB144" s="217" t="e">
        <f t="shared" si="4"/>
        <v>#DIV/0!</v>
      </c>
      <c r="AC144" s="210" t="e">
        <f t="shared" si="5"/>
        <v>#DIV/0!</v>
      </c>
    </row>
    <row r="145" spans="2:29" ht="35.1" customHeight="1" x14ac:dyDescent="0.2">
      <c r="B145" s="211"/>
      <c r="C145" s="211"/>
      <c r="D145" s="211"/>
      <c r="E145" s="211"/>
      <c r="F145" s="212"/>
      <c r="G145" s="213"/>
      <c r="H145" s="213"/>
      <c r="I145" s="214"/>
      <c r="J145" s="215"/>
      <c r="K145" s="214"/>
      <c r="L145" s="215"/>
      <c r="M145" s="216"/>
      <c r="N145" s="215"/>
      <c r="O145" s="216"/>
      <c r="P145" s="215"/>
      <c r="Q145" s="216"/>
      <c r="R145" s="215"/>
      <c r="S145" s="216"/>
      <c r="T145" s="215"/>
      <c r="U145" s="216"/>
      <c r="V145" s="215"/>
      <c r="W145" s="216"/>
      <c r="X145" s="215"/>
      <c r="Y145" s="216"/>
      <c r="Z145" s="215"/>
      <c r="AA145" s="216"/>
      <c r="AB145" s="217" t="e">
        <f t="shared" si="4"/>
        <v>#DIV/0!</v>
      </c>
      <c r="AC145" s="210" t="e">
        <f t="shared" si="5"/>
        <v>#DIV/0!</v>
      </c>
    </row>
    <row r="146" spans="2:29" ht="35.1" customHeight="1" x14ac:dyDescent="0.2">
      <c r="B146" s="211"/>
      <c r="C146" s="211"/>
      <c r="D146" s="211"/>
      <c r="E146" s="211"/>
      <c r="F146" s="212"/>
      <c r="G146" s="213"/>
      <c r="H146" s="213"/>
      <c r="I146" s="214"/>
      <c r="J146" s="215"/>
      <c r="K146" s="214"/>
      <c r="L146" s="215"/>
      <c r="M146" s="216"/>
      <c r="N146" s="215"/>
      <c r="O146" s="216"/>
      <c r="P146" s="215"/>
      <c r="Q146" s="216"/>
      <c r="R146" s="215"/>
      <c r="S146" s="216"/>
      <c r="T146" s="215"/>
      <c r="U146" s="216"/>
      <c r="V146" s="215"/>
      <c r="W146" s="216"/>
      <c r="X146" s="215"/>
      <c r="Y146" s="216"/>
      <c r="Z146" s="215"/>
      <c r="AA146" s="216"/>
      <c r="AB146" s="217" t="e">
        <f t="shared" si="4"/>
        <v>#DIV/0!</v>
      </c>
      <c r="AC146" s="210" t="e">
        <f t="shared" si="5"/>
        <v>#DIV/0!</v>
      </c>
    </row>
    <row r="147" spans="2:29" ht="35.1" customHeight="1" x14ac:dyDescent="0.2">
      <c r="B147" s="211"/>
      <c r="C147" s="211"/>
      <c r="D147" s="211"/>
      <c r="E147" s="211"/>
      <c r="F147" s="212"/>
      <c r="G147" s="213"/>
      <c r="H147" s="213"/>
      <c r="I147" s="214"/>
      <c r="J147" s="215"/>
      <c r="K147" s="214"/>
      <c r="L147" s="215"/>
      <c r="M147" s="216"/>
      <c r="N147" s="215"/>
      <c r="O147" s="216"/>
      <c r="P147" s="215"/>
      <c r="Q147" s="216"/>
      <c r="R147" s="215"/>
      <c r="S147" s="216"/>
      <c r="T147" s="215"/>
      <c r="U147" s="216"/>
      <c r="V147" s="215"/>
      <c r="W147" s="216"/>
      <c r="X147" s="215"/>
      <c r="Y147" s="216"/>
      <c r="Z147" s="215"/>
      <c r="AA147" s="216"/>
      <c r="AB147" s="217" t="e">
        <f t="shared" si="4"/>
        <v>#DIV/0!</v>
      </c>
      <c r="AC147" s="210" t="e">
        <f t="shared" si="5"/>
        <v>#DIV/0!</v>
      </c>
    </row>
    <row r="148" spans="2:29" ht="35.1" customHeight="1" x14ac:dyDescent="0.2">
      <c r="B148" s="211"/>
      <c r="C148" s="211"/>
      <c r="D148" s="211"/>
      <c r="E148" s="211"/>
      <c r="F148" s="212"/>
      <c r="G148" s="213"/>
      <c r="H148" s="213"/>
      <c r="I148" s="214"/>
      <c r="J148" s="215"/>
      <c r="K148" s="214"/>
      <c r="L148" s="215"/>
      <c r="M148" s="216"/>
      <c r="N148" s="215"/>
      <c r="O148" s="216"/>
      <c r="P148" s="215"/>
      <c r="Q148" s="216"/>
      <c r="R148" s="215"/>
      <c r="S148" s="216"/>
      <c r="T148" s="215"/>
      <c r="U148" s="216"/>
      <c r="V148" s="215"/>
      <c r="W148" s="216"/>
      <c r="X148" s="215"/>
      <c r="Y148" s="216"/>
      <c r="Z148" s="215"/>
      <c r="AA148" s="216"/>
      <c r="AB148" s="217" t="e">
        <f t="shared" si="4"/>
        <v>#DIV/0!</v>
      </c>
      <c r="AC148" s="210" t="e">
        <f t="shared" si="5"/>
        <v>#DIV/0!</v>
      </c>
    </row>
    <row r="149" spans="2:29" ht="47.25" customHeight="1" x14ac:dyDescent="0.2">
      <c r="B149" s="211"/>
      <c r="C149" s="211"/>
      <c r="D149" s="211"/>
      <c r="E149" s="211"/>
      <c r="F149" s="212"/>
      <c r="G149" s="213"/>
      <c r="H149" s="213"/>
      <c r="I149" s="214"/>
      <c r="J149" s="215"/>
      <c r="K149" s="214"/>
      <c r="L149" s="215"/>
      <c r="M149" s="216"/>
      <c r="N149" s="215"/>
      <c r="O149" s="216"/>
      <c r="P149" s="215"/>
      <c r="Q149" s="216"/>
      <c r="R149" s="215"/>
      <c r="S149" s="216"/>
      <c r="T149" s="215"/>
      <c r="U149" s="216"/>
      <c r="V149" s="215"/>
      <c r="W149" s="216"/>
      <c r="X149" s="215"/>
      <c r="Y149" s="216"/>
      <c r="Z149" s="215"/>
      <c r="AA149" s="216"/>
      <c r="AB149" s="217" t="e">
        <f t="shared" si="4"/>
        <v>#DIV/0!</v>
      </c>
      <c r="AC149" s="210" t="e">
        <f t="shared" si="5"/>
        <v>#DIV/0!</v>
      </c>
    </row>
    <row r="150" spans="2:29" ht="35.1" customHeight="1" thickBot="1" x14ac:dyDescent="0.25">
      <c r="B150" s="218"/>
      <c r="C150" s="218"/>
      <c r="D150" s="218"/>
      <c r="E150" s="218"/>
      <c r="F150" s="219"/>
      <c r="G150" s="220"/>
      <c r="H150" s="220"/>
      <c r="I150" s="221"/>
      <c r="J150" s="222"/>
      <c r="K150" s="221"/>
      <c r="L150" s="222"/>
      <c r="M150" s="223"/>
      <c r="N150" s="222"/>
      <c r="O150" s="223"/>
      <c r="P150" s="222"/>
      <c r="Q150" s="223"/>
      <c r="R150" s="222"/>
      <c r="S150" s="223"/>
      <c r="T150" s="222"/>
      <c r="U150" s="223"/>
      <c r="V150" s="222"/>
      <c r="W150" s="223"/>
      <c r="X150" s="222"/>
      <c r="Y150" s="223"/>
      <c r="Z150" s="222"/>
      <c r="AA150" s="223"/>
      <c r="AB150" s="217" t="e">
        <f t="shared" si="4"/>
        <v>#DIV/0!</v>
      </c>
      <c r="AC150" s="210" t="e">
        <f t="shared" si="5"/>
        <v>#DIV/0!</v>
      </c>
    </row>
    <row r="151" spans="2:29" ht="35.1" customHeight="1" thickTop="1" x14ac:dyDescent="0.2">
      <c r="B151" s="205"/>
      <c r="C151" s="205"/>
      <c r="D151" s="205"/>
      <c r="E151" s="205"/>
      <c r="F151" s="205"/>
      <c r="G151" s="206"/>
      <c r="H151" s="206"/>
      <c r="I151" s="207"/>
      <c r="J151" s="208"/>
      <c r="K151" s="207"/>
      <c r="L151" s="208"/>
      <c r="M151" s="209"/>
      <c r="N151" s="208"/>
      <c r="O151" s="209"/>
      <c r="P151" s="208"/>
      <c r="Q151" s="209"/>
      <c r="R151" s="208"/>
      <c r="S151" s="209"/>
      <c r="T151" s="208"/>
      <c r="U151" s="209"/>
      <c r="V151" s="208"/>
      <c r="W151" s="209"/>
      <c r="X151" s="208"/>
      <c r="Y151" s="209"/>
      <c r="Z151" s="208"/>
      <c r="AA151" s="209"/>
      <c r="AB151" s="217" t="e">
        <f t="shared" si="4"/>
        <v>#DIV/0!</v>
      </c>
      <c r="AC151" s="210" t="e">
        <f t="shared" si="5"/>
        <v>#DIV/0!</v>
      </c>
    </row>
    <row r="152" spans="2:29" ht="35.1" customHeight="1" x14ac:dyDescent="0.2">
      <c r="B152" s="211"/>
      <c r="C152" s="211"/>
      <c r="D152" s="211"/>
      <c r="E152" s="211"/>
      <c r="F152" s="212"/>
      <c r="G152" s="213"/>
      <c r="H152" s="213"/>
      <c r="I152" s="214"/>
      <c r="J152" s="215"/>
      <c r="K152" s="214"/>
      <c r="L152" s="215"/>
      <c r="M152" s="216"/>
      <c r="N152" s="215"/>
      <c r="O152" s="216"/>
      <c r="P152" s="215"/>
      <c r="Q152" s="216"/>
      <c r="R152" s="215"/>
      <c r="S152" s="216"/>
      <c r="T152" s="215"/>
      <c r="U152" s="216"/>
      <c r="V152" s="215"/>
      <c r="W152" s="216"/>
      <c r="X152" s="215"/>
      <c r="Y152" s="216"/>
      <c r="Z152" s="215"/>
      <c r="AA152" s="216"/>
      <c r="AB152" s="217" t="e">
        <f t="shared" si="4"/>
        <v>#DIV/0!</v>
      </c>
      <c r="AC152" s="210" t="e">
        <f t="shared" si="5"/>
        <v>#DIV/0!</v>
      </c>
    </row>
    <row r="153" spans="2:29" ht="35.1" customHeight="1" x14ac:dyDescent="0.2">
      <c r="B153" s="211"/>
      <c r="C153" s="211"/>
      <c r="D153" s="211"/>
      <c r="E153" s="211"/>
      <c r="F153" s="212"/>
      <c r="G153" s="213"/>
      <c r="H153" s="213"/>
      <c r="I153" s="214"/>
      <c r="J153" s="215"/>
      <c r="K153" s="214"/>
      <c r="L153" s="215"/>
      <c r="M153" s="216"/>
      <c r="N153" s="215"/>
      <c r="O153" s="216"/>
      <c r="P153" s="215"/>
      <c r="Q153" s="216"/>
      <c r="R153" s="215"/>
      <c r="S153" s="216"/>
      <c r="T153" s="215"/>
      <c r="U153" s="216"/>
      <c r="V153" s="215"/>
      <c r="W153" s="216"/>
      <c r="X153" s="215"/>
      <c r="Y153" s="216"/>
      <c r="Z153" s="215"/>
      <c r="AA153" s="216"/>
      <c r="AB153" s="217" t="e">
        <f t="shared" si="4"/>
        <v>#DIV/0!</v>
      </c>
      <c r="AC153" s="210" t="e">
        <f t="shared" si="5"/>
        <v>#DIV/0!</v>
      </c>
    </row>
    <row r="154" spans="2:29" ht="35.1" customHeight="1" x14ac:dyDescent="0.2">
      <c r="B154" s="211"/>
      <c r="C154" s="211"/>
      <c r="D154" s="211"/>
      <c r="E154" s="211"/>
      <c r="F154" s="212"/>
      <c r="G154" s="213"/>
      <c r="H154" s="213"/>
      <c r="I154" s="214"/>
      <c r="J154" s="215"/>
      <c r="K154" s="214"/>
      <c r="L154" s="215"/>
      <c r="M154" s="216"/>
      <c r="N154" s="215"/>
      <c r="O154" s="216"/>
      <c r="P154" s="215"/>
      <c r="Q154" s="216"/>
      <c r="R154" s="215"/>
      <c r="S154" s="216"/>
      <c r="T154" s="215"/>
      <c r="U154" s="216"/>
      <c r="V154" s="215"/>
      <c r="W154" s="216"/>
      <c r="X154" s="215"/>
      <c r="Y154" s="216"/>
      <c r="Z154" s="215"/>
      <c r="AA154" s="216"/>
      <c r="AB154" s="217" t="e">
        <f t="shared" si="4"/>
        <v>#DIV/0!</v>
      </c>
      <c r="AC154" s="210" t="e">
        <f t="shared" si="5"/>
        <v>#DIV/0!</v>
      </c>
    </row>
    <row r="155" spans="2:29" ht="35.1" customHeight="1" x14ac:dyDescent="0.2">
      <c r="B155" s="211"/>
      <c r="C155" s="211"/>
      <c r="D155" s="211"/>
      <c r="E155" s="211"/>
      <c r="F155" s="212"/>
      <c r="G155" s="213"/>
      <c r="H155" s="213"/>
      <c r="I155" s="214"/>
      <c r="J155" s="215"/>
      <c r="K155" s="214"/>
      <c r="L155" s="215"/>
      <c r="M155" s="216"/>
      <c r="N155" s="215"/>
      <c r="O155" s="216"/>
      <c r="P155" s="215"/>
      <c r="Q155" s="216"/>
      <c r="R155" s="215"/>
      <c r="S155" s="216"/>
      <c r="T155" s="215"/>
      <c r="U155" s="216"/>
      <c r="V155" s="215"/>
      <c r="W155" s="216"/>
      <c r="X155" s="215"/>
      <c r="Y155" s="216"/>
      <c r="Z155" s="215"/>
      <c r="AA155" s="216"/>
      <c r="AB155" s="217" t="e">
        <f t="shared" si="4"/>
        <v>#DIV/0!</v>
      </c>
      <c r="AC155" s="210" t="e">
        <f t="shared" si="5"/>
        <v>#DIV/0!</v>
      </c>
    </row>
    <row r="156" spans="2:29" ht="47.25" customHeight="1" x14ac:dyDescent="0.2">
      <c r="B156" s="211"/>
      <c r="C156" s="211"/>
      <c r="D156" s="211"/>
      <c r="E156" s="211"/>
      <c r="F156" s="212"/>
      <c r="G156" s="213"/>
      <c r="H156" s="213"/>
      <c r="I156" s="214"/>
      <c r="J156" s="215"/>
      <c r="K156" s="214"/>
      <c r="L156" s="215"/>
      <c r="M156" s="216"/>
      <c r="N156" s="215"/>
      <c r="O156" s="216"/>
      <c r="P156" s="215"/>
      <c r="Q156" s="216"/>
      <c r="R156" s="215"/>
      <c r="S156" s="216"/>
      <c r="T156" s="215"/>
      <c r="U156" s="216"/>
      <c r="V156" s="215"/>
      <c r="W156" s="216"/>
      <c r="X156" s="215"/>
      <c r="Y156" s="216"/>
      <c r="Z156" s="215"/>
      <c r="AA156" s="216"/>
      <c r="AB156" s="217" t="e">
        <f t="shared" si="4"/>
        <v>#DIV/0!</v>
      </c>
      <c r="AC156" s="210" t="e">
        <f t="shared" si="5"/>
        <v>#DIV/0!</v>
      </c>
    </row>
    <row r="157" spans="2:29" ht="35.1" customHeight="1" thickBot="1" x14ac:dyDescent="0.25">
      <c r="B157" s="218"/>
      <c r="C157" s="218"/>
      <c r="D157" s="218"/>
      <c r="E157" s="218"/>
      <c r="F157" s="219"/>
      <c r="G157" s="220"/>
      <c r="H157" s="220"/>
      <c r="I157" s="221"/>
      <c r="J157" s="222"/>
      <c r="K157" s="221"/>
      <c r="L157" s="222"/>
      <c r="M157" s="223"/>
      <c r="N157" s="222"/>
      <c r="O157" s="223"/>
      <c r="P157" s="222"/>
      <c r="Q157" s="223"/>
      <c r="R157" s="222"/>
      <c r="S157" s="223"/>
      <c r="T157" s="222"/>
      <c r="U157" s="223"/>
      <c r="V157" s="222"/>
      <c r="W157" s="223"/>
      <c r="X157" s="222"/>
      <c r="Y157" s="223"/>
      <c r="Z157" s="222"/>
      <c r="AA157" s="223"/>
      <c r="AB157" s="217" t="e">
        <f t="shared" si="4"/>
        <v>#DIV/0!</v>
      </c>
      <c r="AC157" s="210" t="e">
        <f t="shared" si="5"/>
        <v>#DIV/0!</v>
      </c>
    </row>
    <row r="158" spans="2:29" ht="35.1" customHeight="1" thickTop="1" x14ac:dyDescent="0.2">
      <c r="B158" s="205"/>
      <c r="C158" s="205"/>
      <c r="D158" s="205"/>
      <c r="E158" s="205"/>
      <c r="F158" s="205"/>
      <c r="G158" s="206"/>
      <c r="H158" s="206"/>
      <c r="I158" s="207"/>
      <c r="J158" s="208"/>
      <c r="K158" s="207"/>
      <c r="L158" s="208"/>
      <c r="M158" s="209"/>
      <c r="N158" s="208"/>
      <c r="O158" s="209"/>
      <c r="P158" s="208"/>
      <c r="Q158" s="209"/>
      <c r="R158" s="208"/>
      <c r="S158" s="209"/>
      <c r="T158" s="208"/>
      <c r="U158" s="209"/>
      <c r="V158" s="208"/>
      <c r="W158" s="209"/>
      <c r="X158" s="208"/>
      <c r="Y158" s="209"/>
      <c r="Z158" s="208"/>
      <c r="AA158" s="209"/>
      <c r="AB158" s="217" t="e">
        <f t="shared" si="4"/>
        <v>#DIV/0!</v>
      </c>
      <c r="AC158" s="210" t="e">
        <f t="shared" si="5"/>
        <v>#DIV/0!</v>
      </c>
    </row>
    <row r="159" spans="2:29" ht="35.1" customHeight="1" x14ac:dyDescent="0.2">
      <c r="B159" s="211"/>
      <c r="C159" s="211"/>
      <c r="D159" s="211"/>
      <c r="E159" s="211"/>
      <c r="F159" s="212"/>
      <c r="G159" s="213"/>
      <c r="H159" s="213"/>
      <c r="I159" s="214"/>
      <c r="J159" s="215"/>
      <c r="K159" s="214"/>
      <c r="L159" s="215"/>
      <c r="M159" s="216"/>
      <c r="N159" s="215"/>
      <c r="O159" s="216"/>
      <c r="P159" s="215"/>
      <c r="Q159" s="216"/>
      <c r="R159" s="215"/>
      <c r="S159" s="216"/>
      <c r="T159" s="215"/>
      <c r="U159" s="216"/>
      <c r="V159" s="215"/>
      <c r="W159" s="216"/>
      <c r="X159" s="215"/>
      <c r="Y159" s="216"/>
      <c r="Z159" s="215"/>
      <c r="AA159" s="216"/>
      <c r="AB159" s="217" t="e">
        <f t="shared" si="4"/>
        <v>#DIV/0!</v>
      </c>
      <c r="AC159" s="210" t="e">
        <f t="shared" si="5"/>
        <v>#DIV/0!</v>
      </c>
    </row>
    <row r="160" spans="2:29" ht="35.1" customHeight="1" x14ac:dyDescent="0.2">
      <c r="B160" s="211"/>
      <c r="C160" s="211"/>
      <c r="D160" s="211"/>
      <c r="E160" s="211"/>
      <c r="F160" s="212"/>
      <c r="G160" s="213"/>
      <c r="H160" s="213"/>
      <c r="I160" s="214"/>
      <c r="J160" s="215"/>
      <c r="K160" s="214"/>
      <c r="L160" s="215"/>
      <c r="M160" s="216"/>
      <c r="N160" s="215"/>
      <c r="O160" s="216"/>
      <c r="P160" s="215"/>
      <c r="Q160" s="216"/>
      <c r="R160" s="215"/>
      <c r="S160" s="216"/>
      <c r="T160" s="215"/>
      <c r="U160" s="216"/>
      <c r="V160" s="215"/>
      <c r="W160" s="216"/>
      <c r="X160" s="215"/>
      <c r="Y160" s="216"/>
      <c r="Z160" s="215"/>
      <c r="AA160" s="216"/>
      <c r="AB160" s="217" t="e">
        <f t="shared" si="4"/>
        <v>#DIV/0!</v>
      </c>
      <c r="AC160" s="210" t="e">
        <f t="shared" si="5"/>
        <v>#DIV/0!</v>
      </c>
    </row>
    <row r="161" spans="2:29" ht="35.1" customHeight="1" x14ac:dyDescent="0.2">
      <c r="B161" s="211"/>
      <c r="C161" s="211"/>
      <c r="D161" s="211"/>
      <c r="E161" s="211"/>
      <c r="F161" s="212"/>
      <c r="G161" s="213"/>
      <c r="H161" s="213"/>
      <c r="I161" s="214"/>
      <c r="J161" s="215"/>
      <c r="K161" s="214"/>
      <c r="L161" s="215"/>
      <c r="M161" s="216"/>
      <c r="N161" s="215"/>
      <c r="O161" s="216"/>
      <c r="P161" s="215"/>
      <c r="Q161" s="216"/>
      <c r="R161" s="215"/>
      <c r="S161" s="216"/>
      <c r="T161" s="215"/>
      <c r="U161" s="216"/>
      <c r="V161" s="215"/>
      <c r="W161" s="216"/>
      <c r="X161" s="215"/>
      <c r="Y161" s="216"/>
      <c r="Z161" s="215"/>
      <c r="AA161" s="216"/>
      <c r="AB161" s="217" t="e">
        <f t="shared" si="4"/>
        <v>#DIV/0!</v>
      </c>
      <c r="AC161" s="210" t="e">
        <f t="shared" si="5"/>
        <v>#DIV/0!</v>
      </c>
    </row>
    <row r="162" spans="2:29" ht="35.1" customHeight="1" x14ac:dyDescent="0.2">
      <c r="B162" s="211"/>
      <c r="C162" s="211"/>
      <c r="D162" s="211"/>
      <c r="E162" s="211"/>
      <c r="F162" s="212"/>
      <c r="G162" s="213"/>
      <c r="H162" s="213"/>
      <c r="I162" s="214"/>
      <c r="J162" s="215"/>
      <c r="K162" s="214"/>
      <c r="L162" s="215"/>
      <c r="M162" s="216"/>
      <c r="N162" s="215"/>
      <c r="O162" s="216"/>
      <c r="P162" s="215"/>
      <c r="Q162" s="216"/>
      <c r="R162" s="215"/>
      <c r="S162" s="216"/>
      <c r="T162" s="215"/>
      <c r="U162" s="216"/>
      <c r="V162" s="215"/>
      <c r="W162" s="216"/>
      <c r="X162" s="215"/>
      <c r="Y162" s="216"/>
      <c r="Z162" s="215"/>
      <c r="AA162" s="216"/>
      <c r="AB162" s="217" t="e">
        <f t="shared" si="4"/>
        <v>#DIV/0!</v>
      </c>
      <c r="AC162" s="210" t="e">
        <f t="shared" si="5"/>
        <v>#DIV/0!</v>
      </c>
    </row>
    <row r="163" spans="2:29" ht="47.25" customHeight="1" x14ac:dyDescent="0.2">
      <c r="B163" s="211"/>
      <c r="C163" s="211"/>
      <c r="D163" s="211"/>
      <c r="E163" s="211"/>
      <c r="F163" s="212"/>
      <c r="G163" s="213"/>
      <c r="H163" s="213"/>
      <c r="I163" s="214"/>
      <c r="J163" s="215"/>
      <c r="K163" s="214"/>
      <c r="L163" s="215"/>
      <c r="M163" s="216"/>
      <c r="N163" s="215"/>
      <c r="O163" s="216"/>
      <c r="P163" s="215"/>
      <c r="Q163" s="216"/>
      <c r="R163" s="215"/>
      <c r="S163" s="216"/>
      <c r="T163" s="215"/>
      <c r="U163" s="216"/>
      <c r="V163" s="215"/>
      <c r="W163" s="216"/>
      <c r="X163" s="215"/>
      <c r="Y163" s="216"/>
      <c r="Z163" s="215"/>
      <c r="AA163" s="216"/>
      <c r="AB163" s="217" t="e">
        <f t="shared" si="4"/>
        <v>#DIV/0!</v>
      </c>
      <c r="AC163" s="210" t="e">
        <f t="shared" si="5"/>
        <v>#DIV/0!</v>
      </c>
    </row>
    <row r="164" spans="2:29" ht="35.1" customHeight="1" thickBot="1" x14ac:dyDescent="0.25">
      <c r="B164" s="218"/>
      <c r="C164" s="218"/>
      <c r="D164" s="218"/>
      <c r="E164" s="218"/>
      <c r="F164" s="219"/>
      <c r="G164" s="220"/>
      <c r="H164" s="220"/>
      <c r="I164" s="221"/>
      <c r="J164" s="222"/>
      <c r="K164" s="221"/>
      <c r="L164" s="222"/>
      <c r="M164" s="223"/>
      <c r="N164" s="222"/>
      <c r="O164" s="223"/>
      <c r="P164" s="222"/>
      <c r="Q164" s="223"/>
      <c r="R164" s="222"/>
      <c r="S164" s="223"/>
      <c r="T164" s="222"/>
      <c r="U164" s="223"/>
      <c r="V164" s="222"/>
      <c r="W164" s="223"/>
      <c r="X164" s="222"/>
      <c r="Y164" s="223"/>
      <c r="Z164" s="222"/>
      <c r="AA164" s="223"/>
      <c r="AB164" s="217" t="e">
        <f t="shared" si="4"/>
        <v>#DIV/0!</v>
      </c>
      <c r="AC164" s="210" t="e">
        <f t="shared" si="5"/>
        <v>#DIV/0!</v>
      </c>
    </row>
    <row r="165" spans="2:29" ht="35.1" customHeight="1" thickTop="1" x14ac:dyDescent="0.2">
      <c r="B165" s="205"/>
      <c r="C165" s="205"/>
      <c r="D165" s="205"/>
      <c r="E165" s="205"/>
      <c r="F165" s="205"/>
      <c r="G165" s="206"/>
      <c r="H165" s="206"/>
      <c r="I165" s="207"/>
      <c r="J165" s="208"/>
      <c r="K165" s="207"/>
      <c r="L165" s="208"/>
      <c r="M165" s="209"/>
      <c r="N165" s="208"/>
      <c r="O165" s="209"/>
      <c r="P165" s="208"/>
      <c r="Q165" s="209"/>
      <c r="R165" s="208"/>
      <c r="S165" s="209"/>
      <c r="T165" s="208"/>
      <c r="U165" s="209"/>
      <c r="V165" s="208"/>
      <c r="W165" s="209"/>
      <c r="X165" s="208"/>
      <c r="Y165" s="209"/>
      <c r="Z165" s="208"/>
      <c r="AA165" s="209"/>
      <c r="AB165" s="217" t="e">
        <f t="shared" si="4"/>
        <v>#DIV/0!</v>
      </c>
      <c r="AC165" s="210" t="e">
        <f t="shared" si="5"/>
        <v>#DIV/0!</v>
      </c>
    </row>
    <row r="166" spans="2:29" ht="35.1" customHeight="1" x14ac:dyDescent="0.2">
      <c r="B166" s="211"/>
      <c r="C166" s="211"/>
      <c r="D166" s="211"/>
      <c r="E166" s="211"/>
      <c r="F166" s="212"/>
      <c r="G166" s="213"/>
      <c r="H166" s="213"/>
      <c r="I166" s="214"/>
      <c r="J166" s="215"/>
      <c r="K166" s="214"/>
      <c r="L166" s="215"/>
      <c r="M166" s="216"/>
      <c r="N166" s="215"/>
      <c r="O166" s="216"/>
      <c r="P166" s="215"/>
      <c r="Q166" s="216"/>
      <c r="R166" s="215"/>
      <c r="S166" s="216"/>
      <c r="T166" s="215"/>
      <c r="U166" s="216"/>
      <c r="V166" s="215"/>
      <c r="W166" s="216"/>
      <c r="X166" s="215"/>
      <c r="Y166" s="216"/>
      <c r="Z166" s="215"/>
      <c r="AA166" s="216"/>
      <c r="AB166" s="217" t="e">
        <f t="shared" si="4"/>
        <v>#DIV/0!</v>
      </c>
      <c r="AC166" s="210" t="e">
        <f t="shared" si="5"/>
        <v>#DIV/0!</v>
      </c>
    </row>
    <row r="167" spans="2:29" ht="35.1" customHeight="1" x14ac:dyDescent="0.2">
      <c r="B167" s="211"/>
      <c r="C167" s="211"/>
      <c r="D167" s="211"/>
      <c r="E167" s="211"/>
      <c r="F167" s="212"/>
      <c r="G167" s="213"/>
      <c r="H167" s="213"/>
      <c r="I167" s="214"/>
      <c r="J167" s="215"/>
      <c r="K167" s="214"/>
      <c r="L167" s="215"/>
      <c r="M167" s="216"/>
      <c r="N167" s="215"/>
      <c r="O167" s="216"/>
      <c r="P167" s="215"/>
      <c r="Q167" s="216"/>
      <c r="R167" s="215"/>
      <c r="S167" s="216"/>
      <c r="T167" s="215"/>
      <c r="U167" s="216"/>
      <c r="V167" s="215"/>
      <c r="W167" s="216"/>
      <c r="X167" s="215"/>
      <c r="Y167" s="216"/>
      <c r="Z167" s="215"/>
      <c r="AA167" s="216"/>
      <c r="AB167" s="217" t="e">
        <f t="shared" si="4"/>
        <v>#DIV/0!</v>
      </c>
      <c r="AC167" s="210" t="e">
        <f t="shared" si="5"/>
        <v>#DIV/0!</v>
      </c>
    </row>
    <row r="168" spans="2:29" ht="35.1" customHeight="1" x14ac:dyDescent="0.2">
      <c r="B168" s="211"/>
      <c r="C168" s="211"/>
      <c r="D168" s="211"/>
      <c r="E168" s="211"/>
      <c r="F168" s="212"/>
      <c r="G168" s="213"/>
      <c r="H168" s="213"/>
      <c r="I168" s="214"/>
      <c r="J168" s="215"/>
      <c r="K168" s="214"/>
      <c r="L168" s="215"/>
      <c r="M168" s="216"/>
      <c r="N168" s="215"/>
      <c r="O168" s="216"/>
      <c r="P168" s="215"/>
      <c r="Q168" s="216"/>
      <c r="R168" s="215"/>
      <c r="S168" s="216"/>
      <c r="T168" s="215"/>
      <c r="U168" s="216"/>
      <c r="V168" s="215"/>
      <c r="W168" s="216"/>
      <c r="X168" s="215"/>
      <c r="Y168" s="216"/>
      <c r="Z168" s="215"/>
      <c r="AA168" s="216"/>
      <c r="AB168" s="217" t="e">
        <f t="shared" si="4"/>
        <v>#DIV/0!</v>
      </c>
      <c r="AC168" s="210" t="e">
        <f t="shared" si="5"/>
        <v>#DIV/0!</v>
      </c>
    </row>
    <row r="169" spans="2:29" ht="35.1" customHeight="1" x14ac:dyDescent="0.2">
      <c r="B169" s="211"/>
      <c r="C169" s="211"/>
      <c r="D169" s="211"/>
      <c r="E169" s="211"/>
      <c r="F169" s="212"/>
      <c r="G169" s="213"/>
      <c r="H169" s="213"/>
      <c r="I169" s="214"/>
      <c r="J169" s="215"/>
      <c r="K169" s="214"/>
      <c r="L169" s="215"/>
      <c r="M169" s="216"/>
      <c r="N169" s="215"/>
      <c r="O169" s="216"/>
      <c r="P169" s="215"/>
      <c r="Q169" s="216"/>
      <c r="R169" s="215"/>
      <c r="S169" s="216"/>
      <c r="T169" s="215"/>
      <c r="U169" s="216"/>
      <c r="V169" s="215"/>
      <c r="W169" s="216"/>
      <c r="X169" s="215"/>
      <c r="Y169" s="216"/>
      <c r="Z169" s="215"/>
      <c r="AA169" s="216"/>
      <c r="AB169" s="217" t="e">
        <f t="shared" si="4"/>
        <v>#DIV/0!</v>
      </c>
      <c r="AC169" s="210" t="e">
        <f t="shared" si="5"/>
        <v>#DIV/0!</v>
      </c>
    </row>
    <row r="170" spans="2:29" ht="47.25" customHeight="1" x14ac:dyDescent="0.2">
      <c r="B170" s="211"/>
      <c r="C170" s="211"/>
      <c r="D170" s="211"/>
      <c r="E170" s="211"/>
      <c r="F170" s="212"/>
      <c r="G170" s="213"/>
      <c r="H170" s="213"/>
      <c r="I170" s="214"/>
      <c r="J170" s="215"/>
      <c r="K170" s="214"/>
      <c r="L170" s="215"/>
      <c r="M170" s="216"/>
      <c r="N170" s="215"/>
      <c r="O170" s="216"/>
      <c r="P170" s="215"/>
      <c r="Q170" s="216"/>
      <c r="R170" s="215"/>
      <c r="S170" s="216"/>
      <c r="T170" s="215"/>
      <c r="U170" s="216"/>
      <c r="V170" s="215"/>
      <c r="W170" s="216"/>
      <c r="X170" s="215"/>
      <c r="Y170" s="216"/>
      <c r="Z170" s="215"/>
      <c r="AA170" s="216"/>
      <c r="AB170" s="217" t="e">
        <f t="shared" si="4"/>
        <v>#DIV/0!</v>
      </c>
      <c r="AC170" s="210" t="e">
        <f t="shared" si="5"/>
        <v>#DIV/0!</v>
      </c>
    </row>
    <row r="171" spans="2:29" ht="35.1" customHeight="1" thickBot="1" x14ac:dyDescent="0.25">
      <c r="B171" s="218"/>
      <c r="C171" s="218"/>
      <c r="D171" s="218"/>
      <c r="E171" s="218"/>
      <c r="F171" s="219"/>
      <c r="G171" s="220"/>
      <c r="H171" s="220"/>
      <c r="I171" s="221"/>
      <c r="J171" s="222"/>
      <c r="K171" s="221"/>
      <c r="L171" s="222"/>
      <c r="M171" s="223"/>
      <c r="N171" s="222"/>
      <c r="O171" s="223"/>
      <c r="P171" s="222"/>
      <c r="Q171" s="223"/>
      <c r="R171" s="222"/>
      <c r="S171" s="223"/>
      <c r="T171" s="222"/>
      <c r="U171" s="223"/>
      <c r="V171" s="222"/>
      <c r="W171" s="223"/>
      <c r="X171" s="222"/>
      <c r="Y171" s="223"/>
      <c r="Z171" s="222"/>
      <c r="AA171" s="223"/>
      <c r="AB171" s="217" t="e">
        <f t="shared" si="4"/>
        <v>#DIV/0!</v>
      </c>
      <c r="AC171" s="210" t="e">
        <f t="shared" si="5"/>
        <v>#DIV/0!</v>
      </c>
    </row>
    <row r="172" spans="2:29" ht="35.1" customHeight="1" thickTop="1" x14ac:dyDescent="0.2">
      <c r="B172" s="205"/>
      <c r="C172" s="205"/>
      <c r="D172" s="205"/>
      <c r="E172" s="205"/>
      <c r="F172" s="205"/>
      <c r="G172" s="206"/>
      <c r="H172" s="206"/>
      <c r="I172" s="207"/>
      <c r="J172" s="208"/>
      <c r="K172" s="207"/>
      <c r="L172" s="208"/>
      <c r="M172" s="209"/>
      <c r="N172" s="208"/>
      <c r="O172" s="209"/>
      <c r="P172" s="208"/>
      <c r="Q172" s="209"/>
      <c r="R172" s="208"/>
      <c r="S172" s="209"/>
      <c r="T172" s="208"/>
      <c r="U172" s="209"/>
      <c r="V172" s="208"/>
      <c r="W172" s="209"/>
      <c r="X172" s="208"/>
      <c r="Y172" s="209"/>
      <c r="Z172" s="208"/>
      <c r="AA172" s="209"/>
      <c r="AB172" s="217" t="e">
        <f t="shared" si="4"/>
        <v>#DIV/0!</v>
      </c>
      <c r="AC172" s="210" t="e">
        <f t="shared" si="5"/>
        <v>#DIV/0!</v>
      </c>
    </row>
    <row r="173" spans="2:29" ht="35.1" customHeight="1" x14ac:dyDescent="0.2">
      <c r="B173" s="211"/>
      <c r="C173" s="211"/>
      <c r="D173" s="211"/>
      <c r="E173" s="211"/>
      <c r="F173" s="212"/>
      <c r="G173" s="213"/>
      <c r="H173" s="213"/>
      <c r="I173" s="214"/>
      <c r="J173" s="215"/>
      <c r="K173" s="214"/>
      <c r="L173" s="215"/>
      <c r="M173" s="216"/>
      <c r="N173" s="215"/>
      <c r="O173" s="216"/>
      <c r="P173" s="215"/>
      <c r="Q173" s="216"/>
      <c r="R173" s="215"/>
      <c r="S173" s="216"/>
      <c r="T173" s="215"/>
      <c r="U173" s="216"/>
      <c r="V173" s="215"/>
      <c r="W173" s="216"/>
      <c r="X173" s="215"/>
      <c r="Y173" s="216"/>
      <c r="Z173" s="215"/>
      <c r="AA173" s="216"/>
      <c r="AB173" s="217" t="e">
        <f t="shared" si="4"/>
        <v>#DIV/0!</v>
      </c>
      <c r="AC173" s="210" t="e">
        <f t="shared" si="5"/>
        <v>#DIV/0!</v>
      </c>
    </row>
    <row r="174" spans="2:29" ht="35.1" customHeight="1" x14ac:dyDescent="0.2">
      <c r="B174" s="211"/>
      <c r="C174" s="211"/>
      <c r="D174" s="211"/>
      <c r="E174" s="211"/>
      <c r="F174" s="212"/>
      <c r="G174" s="213"/>
      <c r="H174" s="213"/>
      <c r="I174" s="214"/>
      <c r="J174" s="215"/>
      <c r="K174" s="214"/>
      <c r="L174" s="215"/>
      <c r="M174" s="216"/>
      <c r="N174" s="215"/>
      <c r="O174" s="216"/>
      <c r="P174" s="215"/>
      <c r="Q174" s="216"/>
      <c r="R174" s="215"/>
      <c r="S174" s="216"/>
      <c r="T174" s="215"/>
      <c r="U174" s="216"/>
      <c r="V174" s="215"/>
      <c r="W174" s="216"/>
      <c r="X174" s="215"/>
      <c r="Y174" s="216"/>
      <c r="Z174" s="215"/>
      <c r="AA174" s="216"/>
      <c r="AB174" s="217" t="e">
        <f t="shared" si="4"/>
        <v>#DIV/0!</v>
      </c>
      <c r="AC174" s="210" t="e">
        <f t="shared" si="5"/>
        <v>#DIV/0!</v>
      </c>
    </row>
    <row r="175" spans="2:29" ht="35.1" customHeight="1" x14ac:dyDescent="0.2">
      <c r="B175" s="211"/>
      <c r="C175" s="211"/>
      <c r="D175" s="211"/>
      <c r="E175" s="211"/>
      <c r="F175" s="212"/>
      <c r="G175" s="213"/>
      <c r="H175" s="213"/>
      <c r="I175" s="214"/>
      <c r="J175" s="215"/>
      <c r="K175" s="214"/>
      <c r="L175" s="215"/>
      <c r="M175" s="216"/>
      <c r="N175" s="215"/>
      <c r="O175" s="216"/>
      <c r="P175" s="215"/>
      <c r="Q175" s="216"/>
      <c r="R175" s="215"/>
      <c r="S175" s="216"/>
      <c r="T175" s="215"/>
      <c r="U175" s="216"/>
      <c r="V175" s="215"/>
      <c r="W175" s="216"/>
      <c r="X175" s="215"/>
      <c r="Y175" s="216"/>
      <c r="Z175" s="215"/>
      <c r="AA175" s="216"/>
      <c r="AB175" s="217" t="e">
        <f t="shared" si="4"/>
        <v>#DIV/0!</v>
      </c>
      <c r="AC175" s="210" t="e">
        <f t="shared" si="5"/>
        <v>#DIV/0!</v>
      </c>
    </row>
    <row r="176" spans="2:29" ht="35.1" customHeight="1" x14ac:dyDescent="0.2">
      <c r="B176" s="211"/>
      <c r="C176" s="211"/>
      <c r="D176" s="211"/>
      <c r="E176" s="211"/>
      <c r="F176" s="212"/>
      <c r="G176" s="213"/>
      <c r="H176" s="213"/>
      <c r="I176" s="214"/>
      <c r="J176" s="215"/>
      <c r="K176" s="214"/>
      <c r="L176" s="215"/>
      <c r="M176" s="216"/>
      <c r="N176" s="215"/>
      <c r="O176" s="216"/>
      <c r="P176" s="215"/>
      <c r="Q176" s="216"/>
      <c r="R176" s="215"/>
      <c r="S176" s="216"/>
      <c r="T176" s="215"/>
      <c r="U176" s="216"/>
      <c r="V176" s="215"/>
      <c r="W176" s="216"/>
      <c r="X176" s="215"/>
      <c r="Y176" s="216"/>
      <c r="Z176" s="215"/>
      <c r="AA176" s="216"/>
      <c r="AB176" s="217" t="e">
        <f t="shared" si="4"/>
        <v>#DIV/0!</v>
      </c>
      <c r="AC176" s="210" t="e">
        <f t="shared" si="5"/>
        <v>#DIV/0!</v>
      </c>
    </row>
    <row r="177" spans="2:29" ht="47.25" customHeight="1" x14ac:dyDescent="0.2">
      <c r="B177" s="211"/>
      <c r="C177" s="211"/>
      <c r="D177" s="211"/>
      <c r="E177" s="211"/>
      <c r="F177" s="212"/>
      <c r="G177" s="213"/>
      <c r="H177" s="213"/>
      <c r="I177" s="214"/>
      <c r="J177" s="215"/>
      <c r="K177" s="214"/>
      <c r="L177" s="215"/>
      <c r="M177" s="216"/>
      <c r="N177" s="215"/>
      <c r="O177" s="216"/>
      <c r="P177" s="215"/>
      <c r="Q177" s="216"/>
      <c r="R177" s="215"/>
      <c r="S177" s="216"/>
      <c r="T177" s="215"/>
      <c r="U177" s="216"/>
      <c r="V177" s="215"/>
      <c r="W177" s="216"/>
      <c r="X177" s="215"/>
      <c r="Y177" s="216"/>
      <c r="Z177" s="215"/>
      <c r="AA177" s="216"/>
      <c r="AB177" s="217" t="e">
        <f t="shared" si="4"/>
        <v>#DIV/0!</v>
      </c>
      <c r="AC177" s="210" t="e">
        <f t="shared" si="5"/>
        <v>#DIV/0!</v>
      </c>
    </row>
    <row r="178" spans="2:29" ht="35.1" customHeight="1" thickBot="1" x14ac:dyDescent="0.25">
      <c r="B178" s="218"/>
      <c r="C178" s="218"/>
      <c r="D178" s="218"/>
      <c r="E178" s="218"/>
      <c r="F178" s="219"/>
      <c r="G178" s="220"/>
      <c r="H178" s="220"/>
      <c r="I178" s="221"/>
      <c r="J178" s="222"/>
      <c r="K178" s="221"/>
      <c r="L178" s="222"/>
      <c r="M178" s="223"/>
      <c r="N178" s="222"/>
      <c r="O178" s="223"/>
      <c r="P178" s="222"/>
      <c r="Q178" s="223"/>
      <c r="R178" s="222"/>
      <c r="S178" s="223"/>
      <c r="T178" s="222"/>
      <c r="U178" s="223"/>
      <c r="V178" s="222"/>
      <c r="W178" s="223"/>
      <c r="X178" s="222"/>
      <c r="Y178" s="223"/>
      <c r="Z178" s="222"/>
      <c r="AA178" s="223"/>
      <c r="AB178" s="217" t="e">
        <f t="shared" si="4"/>
        <v>#DIV/0!</v>
      </c>
      <c r="AC178" s="210" t="e">
        <f t="shared" si="5"/>
        <v>#DIV/0!</v>
      </c>
    </row>
    <row r="179" spans="2:29" ht="35.1" customHeight="1" thickTop="1" x14ac:dyDescent="0.2">
      <c r="B179" s="205"/>
      <c r="C179" s="205"/>
      <c r="D179" s="205"/>
      <c r="E179" s="205"/>
      <c r="F179" s="205"/>
      <c r="G179" s="206"/>
      <c r="H179" s="206"/>
      <c r="I179" s="207"/>
      <c r="J179" s="208"/>
      <c r="K179" s="207"/>
      <c r="L179" s="208"/>
      <c r="M179" s="209"/>
      <c r="N179" s="208"/>
      <c r="O179" s="209"/>
      <c r="P179" s="208"/>
      <c r="Q179" s="209"/>
      <c r="R179" s="208"/>
      <c r="S179" s="209"/>
      <c r="T179" s="208"/>
      <c r="U179" s="209"/>
      <c r="V179" s="208"/>
      <c r="W179" s="209"/>
      <c r="X179" s="208"/>
      <c r="Y179" s="209"/>
      <c r="Z179" s="208"/>
      <c r="AA179" s="209"/>
      <c r="AB179" s="217" t="e">
        <f t="shared" si="4"/>
        <v>#DIV/0!</v>
      </c>
      <c r="AC179" s="210" t="e">
        <f t="shared" si="5"/>
        <v>#DIV/0!</v>
      </c>
    </row>
    <row r="180" spans="2:29" ht="35.1" customHeight="1" x14ac:dyDescent="0.2">
      <c r="B180" s="211"/>
      <c r="C180" s="211"/>
      <c r="D180" s="211"/>
      <c r="E180" s="211"/>
      <c r="F180" s="212"/>
      <c r="G180" s="213"/>
      <c r="H180" s="213"/>
      <c r="I180" s="214"/>
      <c r="J180" s="215"/>
      <c r="K180" s="214"/>
      <c r="L180" s="215"/>
      <c r="M180" s="216"/>
      <c r="N180" s="215"/>
      <c r="O180" s="216"/>
      <c r="P180" s="215"/>
      <c r="Q180" s="216"/>
      <c r="R180" s="215"/>
      <c r="S180" s="216"/>
      <c r="T180" s="215"/>
      <c r="U180" s="216"/>
      <c r="V180" s="215"/>
      <c r="W180" s="216"/>
      <c r="X180" s="215"/>
      <c r="Y180" s="216"/>
      <c r="Z180" s="215"/>
      <c r="AA180" s="216"/>
      <c r="AB180" s="217" t="e">
        <f t="shared" si="4"/>
        <v>#DIV/0!</v>
      </c>
      <c r="AC180" s="210" t="e">
        <f t="shared" si="5"/>
        <v>#DIV/0!</v>
      </c>
    </row>
    <row r="181" spans="2:29" ht="35.1" customHeight="1" x14ac:dyDescent="0.2">
      <c r="B181" s="211"/>
      <c r="C181" s="211"/>
      <c r="D181" s="211"/>
      <c r="E181" s="211"/>
      <c r="F181" s="212"/>
      <c r="G181" s="213"/>
      <c r="H181" s="213"/>
      <c r="I181" s="214"/>
      <c r="J181" s="215"/>
      <c r="K181" s="214"/>
      <c r="L181" s="215"/>
      <c r="M181" s="216"/>
      <c r="N181" s="215"/>
      <c r="O181" s="216"/>
      <c r="P181" s="215"/>
      <c r="Q181" s="216"/>
      <c r="R181" s="215"/>
      <c r="S181" s="216"/>
      <c r="T181" s="215"/>
      <c r="U181" s="216"/>
      <c r="V181" s="215"/>
      <c r="W181" s="216"/>
      <c r="X181" s="215"/>
      <c r="Y181" s="216"/>
      <c r="Z181" s="215"/>
      <c r="AA181" s="216"/>
      <c r="AB181" s="217" t="e">
        <f t="shared" si="4"/>
        <v>#DIV/0!</v>
      </c>
      <c r="AC181" s="210" t="e">
        <f t="shared" si="5"/>
        <v>#DIV/0!</v>
      </c>
    </row>
    <row r="182" spans="2:29" ht="35.1" customHeight="1" x14ac:dyDescent="0.2">
      <c r="B182" s="211"/>
      <c r="C182" s="211"/>
      <c r="D182" s="211"/>
      <c r="E182" s="211"/>
      <c r="F182" s="212"/>
      <c r="G182" s="213"/>
      <c r="H182" s="213"/>
      <c r="I182" s="214"/>
      <c r="J182" s="215"/>
      <c r="K182" s="214"/>
      <c r="L182" s="215"/>
      <c r="M182" s="216"/>
      <c r="N182" s="215"/>
      <c r="O182" s="216"/>
      <c r="P182" s="215"/>
      <c r="Q182" s="216"/>
      <c r="R182" s="215"/>
      <c r="S182" s="216"/>
      <c r="T182" s="215"/>
      <c r="U182" s="216"/>
      <c r="V182" s="215"/>
      <c r="W182" s="216"/>
      <c r="X182" s="215"/>
      <c r="Y182" s="216"/>
      <c r="Z182" s="215"/>
      <c r="AA182" s="216"/>
      <c r="AB182" s="217" t="e">
        <f t="shared" si="4"/>
        <v>#DIV/0!</v>
      </c>
      <c r="AC182" s="210" t="e">
        <f t="shared" si="5"/>
        <v>#DIV/0!</v>
      </c>
    </row>
    <row r="183" spans="2:29" ht="35.1" customHeight="1" x14ac:dyDescent="0.2">
      <c r="B183" s="211"/>
      <c r="C183" s="211"/>
      <c r="D183" s="211"/>
      <c r="E183" s="211"/>
      <c r="F183" s="212"/>
      <c r="G183" s="213"/>
      <c r="H183" s="213"/>
      <c r="I183" s="214"/>
      <c r="J183" s="215"/>
      <c r="K183" s="214"/>
      <c r="L183" s="215"/>
      <c r="M183" s="216"/>
      <c r="N183" s="215"/>
      <c r="O183" s="216"/>
      <c r="P183" s="215"/>
      <c r="Q183" s="216"/>
      <c r="R183" s="215"/>
      <c r="S183" s="216"/>
      <c r="T183" s="215"/>
      <c r="U183" s="216"/>
      <c r="V183" s="215"/>
      <c r="W183" s="216"/>
      <c r="X183" s="215"/>
      <c r="Y183" s="216"/>
      <c r="Z183" s="215"/>
      <c r="AA183" s="216"/>
      <c r="AB183" s="217" t="e">
        <f t="shared" si="4"/>
        <v>#DIV/0!</v>
      </c>
      <c r="AC183" s="210" t="e">
        <f t="shared" si="5"/>
        <v>#DIV/0!</v>
      </c>
    </row>
    <row r="184" spans="2:29" ht="47.25" customHeight="1" x14ac:dyDescent="0.2">
      <c r="B184" s="211"/>
      <c r="C184" s="211"/>
      <c r="D184" s="211"/>
      <c r="E184" s="211"/>
      <c r="F184" s="212"/>
      <c r="G184" s="213"/>
      <c r="H184" s="213"/>
      <c r="I184" s="214"/>
      <c r="J184" s="215"/>
      <c r="K184" s="214"/>
      <c r="L184" s="215"/>
      <c r="M184" s="216"/>
      <c r="N184" s="215"/>
      <c r="O184" s="216"/>
      <c r="P184" s="215"/>
      <c r="Q184" s="216"/>
      <c r="R184" s="215"/>
      <c r="S184" s="216"/>
      <c r="T184" s="215"/>
      <c r="U184" s="216"/>
      <c r="V184" s="215"/>
      <c r="W184" s="216"/>
      <c r="X184" s="215"/>
      <c r="Y184" s="216"/>
      <c r="Z184" s="215"/>
      <c r="AA184" s="216"/>
      <c r="AB184" s="217" t="e">
        <f t="shared" si="4"/>
        <v>#DIV/0!</v>
      </c>
      <c r="AC184" s="210" t="e">
        <f t="shared" si="5"/>
        <v>#DIV/0!</v>
      </c>
    </row>
    <row r="185" spans="2:29" ht="35.1" customHeight="1" thickBot="1" x14ac:dyDescent="0.25">
      <c r="B185" s="218"/>
      <c r="C185" s="218"/>
      <c r="D185" s="218"/>
      <c r="E185" s="218"/>
      <c r="F185" s="219"/>
      <c r="G185" s="220"/>
      <c r="H185" s="220"/>
      <c r="I185" s="221"/>
      <c r="J185" s="222"/>
      <c r="K185" s="221"/>
      <c r="L185" s="222"/>
      <c r="M185" s="223"/>
      <c r="N185" s="222"/>
      <c r="O185" s="223"/>
      <c r="P185" s="222"/>
      <c r="Q185" s="223"/>
      <c r="R185" s="222"/>
      <c r="S185" s="223"/>
      <c r="T185" s="222"/>
      <c r="U185" s="223"/>
      <c r="V185" s="222"/>
      <c r="W185" s="223"/>
      <c r="X185" s="222"/>
      <c r="Y185" s="223"/>
      <c r="Z185" s="222"/>
      <c r="AA185" s="223"/>
      <c r="AB185" s="217" t="e">
        <f t="shared" si="4"/>
        <v>#DIV/0!</v>
      </c>
      <c r="AC185" s="210" t="e">
        <f t="shared" si="5"/>
        <v>#DIV/0!</v>
      </c>
    </row>
    <row r="186" spans="2:29" ht="35.1" customHeight="1" thickTop="1" x14ac:dyDescent="0.2">
      <c r="B186" s="205"/>
      <c r="C186" s="205"/>
      <c r="D186" s="205"/>
      <c r="E186" s="205"/>
      <c r="F186" s="205"/>
      <c r="G186" s="206"/>
      <c r="H186" s="206"/>
      <c r="I186" s="207"/>
      <c r="J186" s="208"/>
      <c r="K186" s="207"/>
      <c r="L186" s="208"/>
      <c r="M186" s="209"/>
      <c r="N186" s="208"/>
      <c r="O186" s="209"/>
      <c r="P186" s="208"/>
      <c r="Q186" s="209"/>
      <c r="R186" s="208"/>
      <c r="S186" s="209"/>
      <c r="T186" s="208"/>
      <c r="U186" s="209"/>
      <c r="V186" s="208"/>
      <c r="W186" s="209"/>
      <c r="X186" s="208"/>
      <c r="Y186" s="209"/>
      <c r="Z186" s="208"/>
      <c r="AA186" s="209"/>
      <c r="AB186" s="217" t="e">
        <f t="shared" si="4"/>
        <v>#DIV/0!</v>
      </c>
      <c r="AC186" s="210" t="e">
        <f t="shared" si="5"/>
        <v>#DIV/0!</v>
      </c>
    </row>
    <row r="187" spans="2:29" ht="35.1" customHeight="1" x14ac:dyDescent="0.2">
      <c r="B187" s="211"/>
      <c r="C187" s="211"/>
      <c r="D187" s="211"/>
      <c r="E187" s="211"/>
      <c r="F187" s="212"/>
      <c r="G187" s="213"/>
      <c r="H187" s="213"/>
      <c r="I187" s="214"/>
      <c r="J187" s="215"/>
      <c r="K187" s="214"/>
      <c r="L187" s="215"/>
      <c r="M187" s="216"/>
      <c r="N187" s="215"/>
      <c r="O187" s="216"/>
      <c r="P187" s="215"/>
      <c r="Q187" s="216"/>
      <c r="R187" s="215"/>
      <c r="S187" s="216"/>
      <c r="T187" s="215"/>
      <c r="U187" s="216"/>
      <c r="V187" s="215"/>
      <c r="W187" s="216"/>
      <c r="X187" s="215"/>
      <c r="Y187" s="216"/>
      <c r="Z187" s="215"/>
      <c r="AA187" s="216"/>
      <c r="AB187" s="217" t="e">
        <f t="shared" si="4"/>
        <v>#DIV/0!</v>
      </c>
      <c r="AC187" s="210" t="e">
        <f t="shared" si="5"/>
        <v>#DIV/0!</v>
      </c>
    </row>
    <row r="188" spans="2:29" ht="35.1" customHeight="1" x14ac:dyDescent="0.2">
      <c r="B188" s="211"/>
      <c r="C188" s="211"/>
      <c r="D188" s="211"/>
      <c r="E188" s="211"/>
      <c r="F188" s="212"/>
      <c r="G188" s="213"/>
      <c r="H188" s="213"/>
      <c r="I188" s="214"/>
      <c r="J188" s="215"/>
      <c r="K188" s="214"/>
      <c r="L188" s="215"/>
      <c r="M188" s="216"/>
      <c r="N188" s="215"/>
      <c r="O188" s="216"/>
      <c r="P188" s="215"/>
      <c r="Q188" s="216"/>
      <c r="R188" s="215"/>
      <c r="S188" s="216"/>
      <c r="T188" s="215"/>
      <c r="U188" s="216"/>
      <c r="V188" s="215"/>
      <c r="W188" s="216"/>
      <c r="X188" s="215"/>
      <c r="Y188" s="216"/>
      <c r="Z188" s="215"/>
      <c r="AA188" s="216"/>
      <c r="AB188" s="217" t="e">
        <f t="shared" si="4"/>
        <v>#DIV/0!</v>
      </c>
      <c r="AC188" s="210" t="e">
        <f t="shared" si="5"/>
        <v>#DIV/0!</v>
      </c>
    </row>
    <row r="189" spans="2:29" ht="35.1" customHeight="1" x14ac:dyDescent="0.2">
      <c r="B189" s="211"/>
      <c r="C189" s="211"/>
      <c r="D189" s="211"/>
      <c r="E189" s="211"/>
      <c r="F189" s="212"/>
      <c r="G189" s="213"/>
      <c r="H189" s="213"/>
      <c r="I189" s="214"/>
      <c r="J189" s="215"/>
      <c r="K189" s="214"/>
      <c r="L189" s="215"/>
      <c r="M189" s="216"/>
      <c r="N189" s="215"/>
      <c r="O189" s="216"/>
      <c r="P189" s="215"/>
      <c r="Q189" s="216"/>
      <c r="R189" s="215"/>
      <c r="S189" s="216"/>
      <c r="T189" s="215"/>
      <c r="U189" s="216"/>
      <c r="V189" s="215"/>
      <c r="W189" s="216"/>
      <c r="X189" s="215"/>
      <c r="Y189" s="216"/>
      <c r="Z189" s="215"/>
      <c r="AA189" s="216"/>
      <c r="AB189" s="217" t="e">
        <f t="shared" si="4"/>
        <v>#DIV/0!</v>
      </c>
      <c r="AC189" s="210" t="e">
        <f t="shared" si="5"/>
        <v>#DIV/0!</v>
      </c>
    </row>
    <row r="190" spans="2:29" ht="35.1" customHeight="1" x14ac:dyDescent="0.2">
      <c r="B190" s="211"/>
      <c r="C190" s="211"/>
      <c r="D190" s="211"/>
      <c r="E190" s="211"/>
      <c r="F190" s="212"/>
      <c r="G190" s="213"/>
      <c r="H190" s="213"/>
      <c r="I190" s="214"/>
      <c r="J190" s="215"/>
      <c r="K190" s="214"/>
      <c r="L190" s="215"/>
      <c r="M190" s="216"/>
      <c r="N190" s="215"/>
      <c r="O190" s="216"/>
      <c r="P190" s="215"/>
      <c r="Q190" s="216"/>
      <c r="R190" s="215"/>
      <c r="S190" s="216"/>
      <c r="T190" s="215"/>
      <c r="U190" s="216"/>
      <c r="V190" s="215"/>
      <c r="W190" s="216"/>
      <c r="X190" s="215"/>
      <c r="Y190" s="216"/>
      <c r="Z190" s="215"/>
      <c r="AA190" s="216"/>
      <c r="AB190" s="217" t="e">
        <f t="shared" si="4"/>
        <v>#DIV/0!</v>
      </c>
      <c r="AC190" s="210" t="e">
        <f t="shared" si="5"/>
        <v>#DIV/0!</v>
      </c>
    </row>
    <row r="191" spans="2:29" ht="47.25" customHeight="1" x14ac:dyDescent="0.2">
      <c r="B191" s="211"/>
      <c r="C191" s="211"/>
      <c r="D191" s="211"/>
      <c r="E191" s="211"/>
      <c r="F191" s="212"/>
      <c r="G191" s="213"/>
      <c r="H191" s="213"/>
      <c r="I191" s="214"/>
      <c r="J191" s="215"/>
      <c r="K191" s="214"/>
      <c r="L191" s="215"/>
      <c r="M191" s="216"/>
      <c r="N191" s="215"/>
      <c r="O191" s="216"/>
      <c r="P191" s="215"/>
      <c r="Q191" s="216"/>
      <c r="R191" s="215"/>
      <c r="S191" s="216"/>
      <c r="T191" s="215"/>
      <c r="U191" s="216"/>
      <c r="V191" s="215"/>
      <c r="W191" s="216"/>
      <c r="X191" s="215"/>
      <c r="Y191" s="216"/>
      <c r="Z191" s="215"/>
      <c r="AA191" s="216"/>
      <c r="AB191" s="217" t="e">
        <f t="shared" si="4"/>
        <v>#DIV/0!</v>
      </c>
      <c r="AC191" s="210" t="e">
        <f t="shared" si="5"/>
        <v>#DIV/0!</v>
      </c>
    </row>
    <row r="192" spans="2:29" ht="35.1" customHeight="1" thickBot="1" x14ac:dyDescent="0.25">
      <c r="B192" s="218"/>
      <c r="C192" s="218"/>
      <c r="D192" s="218"/>
      <c r="E192" s="218"/>
      <c r="F192" s="219"/>
      <c r="G192" s="220"/>
      <c r="H192" s="220"/>
      <c r="I192" s="221"/>
      <c r="J192" s="222"/>
      <c r="K192" s="221"/>
      <c r="L192" s="222"/>
      <c r="M192" s="223"/>
      <c r="N192" s="222"/>
      <c r="O192" s="223"/>
      <c r="P192" s="222"/>
      <c r="Q192" s="223"/>
      <c r="R192" s="222"/>
      <c r="S192" s="223"/>
      <c r="T192" s="222"/>
      <c r="U192" s="223"/>
      <c r="V192" s="222"/>
      <c r="W192" s="223"/>
      <c r="X192" s="222"/>
      <c r="Y192" s="223"/>
      <c r="Z192" s="222"/>
      <c r="AA192" s="223"/>
      <c r="AB192" s="217" t="e">
        <f t="shared" si="4"/>
        <v>#DIV/0!</v>
      </c>
      <c r="AC192" s="210" t="e">
        <f t="shared" si="5"/>
        <v>#DIV/0!</v>
      </c>
    </row>
    <row r="193" spans="2:29" ht="35.1" customHeight="1" thickTop="1" x14ac:dyDescent="0.2">
      <c r="B193" s="205"/>
      <c r="C193" s="205"/>
      <c r="D193" s="205"/>
      <c r="E193" s="205"/>
      <c r="F193" s="205"/>
      <c r="G193" s="206"/>
      <c r="H193" s="206"/>
      <c r="I193" s="207"/>
      <c r="J193" s="208"/>
      <c r="K193" s="207"/>
      <c r="L193" s="208"/>
      <c r="M193" s="209"/>
      <c r="N193" s="208"/>
      <c r="O193" s="209"/>
      <c r="P193" s="208"/>
      <c r="Q193" s="209"/>
      <c r="R193" s="208"/>
      <c r="S193" s="209"/>
      <c r="T193" s="208"/>
      <c r="U193" s="209"/>
      <c r="V193" s="208"/>
      <c r="W193" s="209"/>
      <c r="X193" s="208"/>
      <c r="Y193" s="209"/>
      <c r="Z193" s="208"/>
      <c r="AA193" s="209"/>
      <c r="AB193" s="217" t="e">
        <f t="shared" si="4"/>
        <v>#DIV/0!</v>
      </c>
      <c r="AC193" s="210" t="e">
        <f t="shared" si="5"/>
        <v>#DIV/0!</v>
      </c>
    </row>
    <row r="194" spans="2:29" ht="35.1" customHeight="1" x14ac:dyDescent="0.2">
      <c r="B194" s="211"/>
      <c r="C194" s="211"/>
      <c r="D194" s="211"/>
      <c r="E194" s="211"/>
      <c r="F194" s="212"/>
      <c r="G194" s="213"/>
      <c r="H194" s="213"/>
      <c r="I194" s="214"/>
      <c r="J194" s="215"/>
      <c r="K194" s="214"/>
      <c r="L194" s="215"/>
      <c r="M194" s="216"/>
      <c r="N194" s="215"/>
      <c r="O194" s="216"/>
      <c r="P194" s="215"/>
      <c r="Q194" s="216"/>
      <c r="R194" s="215"/>
      <c r="S194" s="216"/>
      <c r="T194" s="215"/>
      <c r="U194" s="216"/>
      <c r="V194" s="215"/>
      <c r="W194" s="216"/>
      <c r="X194" s="215"/>
      <c r="Y194" s="216"/>
      <c r="Z194" s="215"/>
      <c r="AA194" s="216"/>
      <c r="AB194" s="217" t="e">
        <f t="shared" si="4"/>
        <v>#DIV/0!</v>
      </c>
      <c r="AC194" s="210" t="e">
        <f t="shared" si="5"/>
        <v>#DIV/0!</v>
      </c>
    </row>
    <row r="195" spans="2:29" ht="35.1" customHeight="1" x14ac:dyDescent="0.2">
      <c r="B195" s="211"/>
      <c r="C195" s="211"/>
      <c r="D195" s="211"/>
      <c r="E195" s="211"/>
      <c r="F195" s="212"/>
      <c r="G195" s="213"/>
      <c r="H195" s="213"/>
      <c r="I195" s="214"/>
      <c r="J195" s="215"/>
      <c r="K195" s="214"/>
      <c r="L195" s="215"/>
      <c r="M195" s="216"/>
      <c r="N195" s="215"/>
      <c r="O195" s="216"/>
      <c r="P195" s="215"/>
      <c r="Q195" s="216"/>
      <c r="R195" s="215"/>
      <c r="S195" s="216"/>
      <c r="T195" s="215"/>
      <c r="U195" s="216"/>
      <c r="V195" s="215"/>
      <c r="W195" s="216"/>
      <c r="X195" s="215"/>
      <c r="Y195" s="216"/>
      <c r="Z195" s="215"/>
      <c r="AA195" s="216"/>
      <c r="AB195" s="217" t="e">
        <f t="shared" si="4"/>
        <v>#DIV/0!</v>
      </c>
      <c r="AC195" s="210" t="e">
        <f t="shared" si="5"/>
        <v>#DIV/0!</v>
      </c>
    </row>
    <row r="196" spans="2:29" ht="35.1" customHeight="1" x14ac:dyDescent="0.2">
      <c r="B196" s="211"/>
      <c r="C196" s="211"/>
      <c r="D196" s="211"/>
      <c r="E196" s="211"/>
      <c r="F196" s="212"/>
      <c r="G196" s="213"/>
      <c r="H196" s="213"/>
      <c r="I196" s="214"/>
      <c r="J196" s="215"/>
      <c r="K196" s="214"/>
      <c r="L196" s="215"/>
      <c r="M196" s="216"/>
      <c r="N196" s="215"/>
      <c r="O196" s="216"/>
      <c r="P196" s="215"/>
      <c r="Q196" s="216"/>
      <c r="R196" s="215"/>
      <c r="S196" s="216"/>
      <c r="T196" s="215"/>
      <c r="U196" s="216"/>
      <c r="V196" s="215"/>
      <c r="W196" s="216"/>
      <c r="X196" s="215"/>
      <c r="Y196" s="216"/>
      <c r="Z196" s="215"/>
      <c r="AA196" s="216"/>
      <c r="AB196" s="217" t="e">
        <f t="shared" ref="AB196:AB259" si="6">N196/I196</f>
        <v>#DIV/0!</v>
      </c>
      <c r="AC196" s="210" t="e">
        <f t="shared" si="5"/>
        <v>#DIV/0!</v>
      </c>
    </row>
    <row r="197" spans="2:29" ht="35.1" customHeight="1" x14ac:dyDescent="0.2">
      <c r="B197" s="211"/>
      <c r="C197" s="211"/>
      <c r="D197" s="211"/>
      <c r="E197" s="211"/>
      <c r="F197" s="212"/>
      <c r="G197" s="213"/>
      <c r="H197" s="213"/>
      <c r="I197" s="214"/>
      <c r="J197" s="215"/>
      <c r="K197" s="214"/>
      <c r="L197" s="215"/>
      <c r="M197" s="216"/>
      <c r="N197" s="215"/>
      <c r="O197" s="216"/>
      <c r="P197" s="215"/>
      <c r="Q197" s="216"/>
      <c r="R197" s="215"/>
      <c r="S197" s="216"/>
      <c r="T197" s="215"/>
      <c r="U197" s="216"/>
      <c r="V197" s="215"/>
      <c r="W197" s="216"/>
      <c r="X197" s="215"/>
      <c r="Y197" s="216"/>
      <c r="Z197" s="215"/>
      <c r="AA197" s="216"/>
      <c r="AB197" s="217" t="e">
        <f t="shared" si="6"/>
        <v>#DIV/0!</v>
      </c>
      <c r="AC197" s="210" t="e">
        <f t="shared" ref="AC197:AC260" si="7">X197/N197</f>
        <v>#DIV/0!</v>
      </c>
    </row>
    <row r="198" spans="2:29" ht="47.25" customHeight="1" x14ac:dyDescent="0.2">
      <c r="B198" s="211"/>
      <c r="C198" s="211"/>
      <c r="D198" s="211"/>
      <c r="E198" s="211"/>
      <c r="F198" s="212"/>
      <c r="G198" s="213"/>
      <c r="H198" s="213"/>
      <c r="I198" s="214"/>
      <c r="J198" s="215"/>
      <c r="K198" s="214"/>
      <c r="L198" s="215"/>
      <c r="M198" s="216"/>
      <c r="N198" s="215"/>
      <c r="O198" s="216"/>
      <c r="P198" s="215"/>
      <c r="Q198" s="216"/>
      <c r="R198" s="215"/>
      <c r="S198" s="216"/>
      <c r="T198" s="215"/>
      <c r="U198" s="216"/>
      <c r="V198" s="215"/>
      <c r="W198" s="216"/>
      <c r="X198" s="215"/>
      <c r="Y198" s="216"/>
      <c r="Z198" s="215"/>
      <c r="AA198" s="216"/>
      <c r="AB198" s="217" t="e">
        <f t="shared" si="6"/>
        <v>#DIV/0!</v>
      </c>
      <c r="AC198" s="210" t="e">
        <f t="shared" si="7"/>
        <v>#DIV/0!</v>
      </c>
    </row>
    <row r="199" spans="2:29" ht="35.1" customHeight="1" thickBot="1" x14ac:dyDescent="0.25">
      <c r="B199" s="218"/>
      <c r="C199" s="218"/>
      <c r="D199" s="218"/>
      <c r="E199" s="218"/>
      <c r="F199" s="219"/>
      <c r="G199" s="220"/>
      <c r="H199" s="220"/>
      <c r="I199" s="221"/>
      <c r="J199" s="222"/>
      <c r="K199" s="221"/>
      <c r="L199" s="222"/>
      <c r="M199" s="223"/>
      <c r="N199" s="222"/>
      <c r="O199" s="223"/>
      <c r="P199" s="222"/>
      <c r="Q199" s="223"/>
      <c r="R199" s="222"/>
      <c r="S199" s="223"/>
      <c r="T199" s="222"/>
      <c r="U199" s="223"/>
      <c r="V199" s="222"/>
      <c r="W199" s="223"/>
      <c r="X199" s="222"/>
      <c r="Y199" s="223"/>
      <c r="Z199" s="222"/>
      <c r="AA199" s="223"/>
      <c r="AB199" s="217" t="e">
        <f t="shared" si="6"/>
        <v>#DIV/0!</v>
      </c>
      <c r="AC199" s="210" t="e">
        <f t="shared" si="7"/>
        <v>#DIV/0!</v>
      </c>
    </row>
    <row r="200" spans="2:29" ht="35.1" customHeight="1" thickTop="1" x14ac:dyDescent="0.2">
      <c r="B200" s="205"/>
      <c r="C200" s="205"/>
      <c r="D200" s="205"/>
      <c r="E200" s="205"/>
      <c r="F200" s="205"/>
      <c r="G200" s="206"/>
      <c r="H200" s="206"/>
      <c r="I200" s="207"/>
      <c r="J200" s="208"/>
      <c r="K200" s="207"/>
      <c r="L200" s="208"/>
      <c r="M200" s="209"/>
      <c r="N200" s="208"/>
      <c r="O200" s="209"/>
      <c r="P200" s="208"/>
      <c r="Q200" s="209"/>
      <c r="R200" s="208"/>
      <c r="S200" s="209"/>
      <c r="T200" s="208"/>
      <c r="U200" s="209"/>
      <c r="V200" s="208"/>
      <c r="W200" s="209"/>
      <c r="X200" s="208"/>
      <c r="Y200" s="209"/>
      <c r="Z200" s="208"/>
      <c r="AA200" s="209"/>
      <c r="AB200" s="217" t="e">
        <f t="shared" si="6"/>
        <v>#DIV/0!</v>
      </c>
      <c r="AC200" s="210" t="e">
        <f t="shared" si="7"/>
        <v>#DIV/0!</v>
      </c>
    </row>
    <row r="201" spans="2:29" ht="35.1" customHeight="1" x14ac:dyDescent="0.2">
      <c r="B201" s="211"/>
      <c r="C201" s="211"/>
      <c r="D201" s="211"/>
      <c r="E201" s="211"/>
      <c r="F201" s="212"/>
      <c r="G201" s="213"/>
      <c r="H201" s="213"/>
      <c r="I201" s="214"/>
      <c r="J201" s="215"/>
      <c r="K201" s="214"/>
      <c r="L201" s="215"/>
      <c r="M201" s="216"/>
      <c r="N201" s="215"/>
      <c r="O201" s="216"/>
      <c r="P201" s="215"/>
      <c r="Q201" s="216"/>
      <c r="R201" s="215"/>
      <c r="S201" s="216"/>
      <c r="T201" s="215"/>
      <c r="U201" s="216"/>
      <c r="V201" s="215"/>
      <c r="W201" s="216"/>
      <c r="X201" s="215"/>
      <c r="Y201" s="216"/>
      <c r="Z201" s="215"/>
      <c r="AA201" s="216"/>
      <c r="AB201" s="217" t="e">
        <f t="shared" si="6"/>
        <v>#DIV/0!</v>
      </c>
      <c r="AC201" s="210" t="e">
        <f t="shared" si="7"/>
        <v>#DIV/0!</v>
      </c>
    </row>
    <row r="202" spans="2:29" ht="35.1" customHeight="1" x14ac:dyDescent="0.2">
      <c r="B202" s="211"/>
      <c r="C202" s="211"/>
      <c r="D202" s="211"/>
      <c r="E202" s="211"/>
      <c r="F202" s="212"/>
      <c r="G202" s="213"/>
      <c r="H202" s="213"/>
      <c r="I202" s="214"/>
      <c r="J202" s="215"/>
      <c r="K202" s="214"/>
      <c r="L202" s="215"/>
      <c r="M202" s="216"/>
      <c r="N202" s="215"/>
      <c r="O202" s="216"/>
      <c r="P202" s="215"/>
      <c r="Q202" s="216"/>
      <c r="R202" s="215"/>
      <c r="S202" s="216"/>
      <c r="T202" s="215"/>
      <c r="U202" s="216"/>
      <c r="V202" s="215"/>
      <c r="W202" s="216"/>
      <c r="X202" s="215"/>
      <c r="Y202" s="216"/>
      <c r="Z202" s="215"/>
      <c r="AA202" s="216"/>
      <c r="AB202" s="217" t="e">
        <f t="shared" si="6"/>
        <v>#DIV/0!</v>
      </c>
      <c r="AC202" s="210" t="e">
        <f t="shared" si="7"/>
        <v>#DIV/0!</v>
      </c>
    </row>
    <row r="203" spans="2:29" ht="35.1" customHeight="1" x14ac:dyDescent="0.2">
      <c r="B203" s="211"/>
      <c r="C203" s="211"/>
      <c r="D203" s="211"/>
      <c r="E203" s="211"/>
      <c r="F203" s="212"/>
      <c r="G203" s="213"/>
      <c r="H203" s="213"/>
      <c r="I203" s="214"/>
      <c r="J203" s="215"/>
      <c r="K203" s="214"/>
      <c r="L203" s="215"/>
      <c r="M203" s="216"/>
      <c r="N203" s="215"/>
      <c r="O203" s="216"/>
      <c r="P203" s="215"/>
      <c r="Q203" s="216"/>
      <c r="R203" s="215"/>
      <c r="S203" s="216"/>
      <c r="T203" s="215"/>
      <c r="U203" s="216"/>
      <c r="V203" s="215"/>
      <c r="W203" s="216"/>
      <c r="X203" s="215"/>
      <c r="Y203" s="216"/>
      <c r="Z203" s="215"/>
      <c r="AA203" s="216"/>
      <c r="AB203" s="217" t="e">
        <f t="shared" si="6"/>
        <v>#DIV/0!</v>
      </c>
      <c r="AC203" s="210" t="e">
        <f t="shared" si="7"/>
        <v>#DIV/0!</v>
      </c>
    </row>
    <row r="204" spans="2:29" ht="35.1" customHeight="1" x14ac:dyDescent="0.2">
      <c r="B204" s="211"/>
      <c r="C204" s="211"/>
      <c r="D204" s="211"/>
      <c r="E204" s="211"/>
      <c r="F204" s="212"/>
      <c r="G204" s="213"/>
      <c r="H204" s="213"/>
      <c r="I204" s="214"/>
      <c r="J204" s="215"/>
      <c r="K204" s="214"/>
      <c r="L204" s="215"/>
      <c r="M204" s="216"/>
      <c r="N204" s="215"/>
      <c r="O204" s="216"/>
      <c r="P204" s="215"/>
      <c r="Q204" s="216"/>
      <c r="R204" s="215"/>
      <c r="S204" s="216"/>
      <c r="T204" s="215"/>
      <c r="U204" s="216"/>
      <c r="V204" s="215"/>
      <c r="W204" s="216"/>
      <c r="X204" s="215"/>
      <c r="Y204" s="216"/>
      <c r="Z204" s="215"/>
      <c r="AA204" s="216"/>
      <c r="AB204" s="217" t="e">
        <f t="shared" si="6"/>
        <v>#DIV/0!</v>
      </c>
      <c r="AC204" s="210" t="e">
        <f t="shared" si="7"/>
        <v>#DIV/0!</v>
      </c>
    </row>
    <row r="205" spans="2:29" ht="47.25" customHeight="1" x14ac:dyDescent="0.2">
      <c r="B205" s="211"/>
      <c r="C205" s="211"/>
      <c r="D205" s="211"/>
      <c r="E205" s="211"/>
      <c r="F205" s="212"/>
      <c r="G205" s="213"/>
      <c r="H205" s="213"/>
      <c r="I205" s="214"/>
      <c r="J205" s="215"/>
      <c r="K205" s="214"/>
      <c r="L205" s="215"/>
      <c r="M205" s="216"/>
      <c r="N205" s="215"/>
      <c r="O205" s="216"/>
      <c r="P205" s="215"/>
      <c r="Q205" s="216"/>
      <c r="R205" s="215"/>
      <c r="S205" s="216"/>
      <c r="T205" s="215"/>
      <c r="U205" s="216"/>
      <c r="V205" s="215"/>
      <c r="W205" s="216"/>
      <c r="X205" s="215"/>
      <c r="Y205" s="216"/>
      <c r="Z205" s="215"/>
      <c r="AA205" s="216"/>
      <c r="AB205" s="217" t="e">
        <f t="shared" si="6"/>
        <v>#DIV/0!</v>
      </c>
      <c r="AC205" s="210" t="e">
        <f t="shared" si="7"/>
        <v>#DIV/0!</v>
      </c>
    </row>
    <row r="206" spans="2:29" ht="35.1" customHeight="1" thickBot="1" x14ac:dyDescent="0.25">
      <c r="B206" s="218"/>
      <c r="C206" s="218"/>
      <c r="D206" s="218"/>
      <c r="E206" s="218"/>
      <c r="F206" s="219"/>
      <c r="G206" s="220"/>
      <c r="H206" s="220"/>
      <c r="I206" s="221"/>
      <c r="J206" s="222"/>
      <c r="K206" s="221"/>
      <c r="L206" s="222"/>
      <c r="M206" s="223"/>
      <c r="N206" s="222"/>
      <c r="O206" s="223"/>
      <c r="P206" s="222"/>
      <c r="Q206" s="223"/>
      <c r="R206" s="222"/>
      <c r="S206" s="223"/>
      <c r="T206" s="222"/>
      <c r="U206" s="223"/>
      <c r="V206" s="222"/>
      <c r="W206" s="223"/>
      <c r="X206" s="222"/>
      <c r="Y206" s="223"/>
      <c r="Z206" s="222"/>
      <c r="AA206" s="223"/>
      <c r="AB206" s="217" t="e">
        <f t="shared" si="6"/>
        <v>#DIV/0!</v>
      </c>
      <c r="AC206" s="210" t="e">
        <f t="shared" si="7"/>
        <v>#DIV/0!</v>
      </c>
    </row>
    <row r="207" spans="2:29" ht="35.1" customHeight="1" thickTop="1" x14ac:dyDescent="0.2">
      <c r="B207" s="205"/>
      <c r="C207" s="205"/>
      <c r="D207" s="205"/>
      <c r="E207" s="205"/>
      <c r="F207" s="205"/>
      <c r="G207" s="206"/>
      <c r="H207" s="206"/>
      <c r="I207" s="207"/>
      <c r="J207" s="208"/>
      <c r="K207" s="207"/>
      <c r="L207" s="208"/>
      <c r="M207" s="209"/>
      <c r="N207" s="208"/>
      <c r="O207" s="209"/>
      <c r="P207" s="208"/>
      <c r="Q207" s="209"/>
      <c r="R207" s="208"/>
      <c r="S207" s="209"/>
      <c r="T207" s="208"/>
      <c r="U207" s="209"/>
      <c r="V207" s="208"/>
      <c r="W207" s="209"/>
      <c r="X207" s="208"/>
      <c r="Y207" s="209"/>
      <c r="Z207" s="208"/>
      <c r="AA207" s="209"/>
      <c r="AB207" s="217" t="e">
        <f t="shared" si="6"/>
        <v>#DIV/0!</v>
      </c>
      <c r="AC207" s="210" t="e">
        <f t="shared" si="7"/>
        <v>#DIV/0!</v>
      </c>
    </row>
    <row r="208" spans="2:29" ht="35.1" customHeight="1" x14ac:dyDescent="0.2">
      <c r="B208" s="211"/>
      <c r="C208" s="211"/>
      <c r="D208" s="211"/>
      <c r="E208" s="211"/>
      <c r="F208" s="212"/>
      <c r="G208" s="213"/>
      <c r="H208" s="213"/>
      <c r="I208" s="214"/>
      <c r="J208" s="215"/>
      <c r="K208" s="214"/>
      <c r="L208" s="215"/>
      <c r="M208" s="216"/>
      <c r="N208" s="215"/>
      <c r="O208" s="216"/>
      <c r="P208" s="215"/>
      <c r="Q208" s="216"/>
      <c r="R208" s="215"/>
      <c r="S208" s="216"/>
      <c r="T208" s="215"/>
      <c r="U208" s="216"/>
      <c r="V208" s="215"/>
      <c r="W208" s="216"/>
      <c r="X208" s="215"/>
      <c r="Y208" s="216"/>
      <c r="Z208" s="215"/>
      <c r="AA208" s="216"/>
      <c r="AB208" s="217" t="e">
        <f t="shared" si="6"/>
        <v>#DIV/0!</v>
      </c>
      <c r="AC208" s="210" t="e">
        <f t="shared" si="7"/>
        <v>#DIV/0!</v>
      </c>
    </row>
    <row r="209" spans="2:29" ht="35.1" customHeight="1" x14ac:dyDescent="0.2">
      <c r="B209" s="211"/>
      <c r="C209" s="211"/>
      <c r="D209" s="211"/>
      <c r="E209" s="211"/>
      <c r="F209" s="212"/>
      <c r="G209" s="213"/>
      <c r="H209" s="213"/>
      <c r="I209" s="214"/>
      <c r="J209" s="215"/>
      <c r="K209" s="214"/>
      <c r="L209" s="215"/>
      <c r="M209" s="216"/>
      <c r="N209" s="215"/>
      <c r="O209" s="216"/>
      <c r="P209" s="215"/>
      <c r="Q209" s="216"/>
      <c r="R209" s="215"/>
      <c r="S209" s="216"/>
      <c r="T209" s="215"/>
      <c r="U209" s="216"/>
      <c r="V209" s="215"/>
      <c r="W209" s="216"/>
      <c r="X209" s="215"/>
      <c r="Y209" s="216"/>
      <c r="Z209" s="215"/>
      <c r="AA209" s="216"/>
      <c r="AB209" s="217" t="e">
        <f t="shared" si="6"/>
        <v>#DIV/0!</v>
      </c>
      <c r="AC209" s="210" t="e">
        <f t="shared" si="7"/>
        <v>#DIV/0!</v>
      </c>
    </row>
    <row r="210" spans="2:29" ht="35.1" customHeight="1" x14ac:dyDescent="0.2">
      <c r="B210" s="211"/>
      <c r="C210" s="211"/>
      <c r="D210" s="211"/>
      <c r="E210" s="211"/>
      <c r="F210" s="212"/>
      <c r="G210" s="213"/>
      <c r="H210" s="213"/>
      <c r="I210" s="214"/>
      <c r="J210" s="215"/>
      <c r="K210" s="214"/>
      <c r="L210" s="215"/>
      <c r="M210" s="216"/>
      <c r="N210" s="215"/>
      <c r="O210" s="216"/>
      <c r="P210" s="215"/>
      <c r="Q210" s="216"/>
      <c r="R210" s="215"/>
      <c r="S210" s="216"/>
      <c r="T210" s="215"/>
      <c r="U210" s="216"/>
      <c r="V210" s="215"/>
      <c r="W210" s="216"/>
      <c r="X210" s="215"/>
      <c r="Y210" s="216"/>
      <c r="Z210" s="215"/>
      <c r="AA210" s="216"/>
      <c r="AB210" s="217" t="e">
        <f t="shared" si="6"/>
        <v>#DIV/0!</v>
      </c>
      <c r="AC210" s="210" t="e">
        <f t="shared" si="7"/>
        <v>#DIV/0!</v>
      </c>
    </row>
    <row r="211" spans="2:29" ht="35.1" customHeight="1" x14ac:dyDescent="0.2">
      <c r="B211" s="211"/>
      <c r="C211" s="211"/>
      <c r="D211" s="211"/>
      <c r="E211" s="211"/>
      <c r="F211" s="212"/>
      <c r="G211" s="213"/>
      <c r="H211" s="213"/>
      <c r="I211" s="214"/>
      <c r="J211" s="215"/>
      <c r="K211" s="214"/>
      <c r="L211" s="215"/>
      <c r="M211" s="216"/>
      <c r="N211" s="215"/>
      <c r="O211" s="216"/>
      <c r="P211" s="215"/>
      <c r="Q211" s="216"/>
      <c r="R211" s="215"/>
      <c r="S211" s="216"/>
      <c r="T211" s="215"/>
      <c r="U211" s="216"/>
      <c r="V211" s="215"/>
      <c r="W211" s="216"/>
      <c r="X211" s="215"/>
      <c r="Y211" s="216"/>
      <c r="Z211" s="215"/>
      <c r="AA211" s="216"/>
      <c r="AB211" s="217" t="e">
        <f t="shared" si="6"/>
        <v>#DIV/0!</v>
      </c>
      <c r="AC211" s="210" t="e">
        <f t="shared" si="7"/>
        <v>#DIV/0!</v>
      </c>
    </row>
    <row r="212" spans="2:29" ht="47.25" customHeight="1" x14ac:dyDescent="0.2">
      <c r="B212" s="211"/>
      <c r="C212" s="211"/>
      <c r="D212" s="211"/>
      <c r="E212" s="211"/>
      <c r="F212" s="212"/>
      <c r="G212" s="213"/>
      <c r="H212" s="213"/>
      <c r="I212" s="214"/>
      <c r="J212" s="215"/>
      <c r="K212" s="214"/>
      <c r="L212" s="215"/>
      <c r="M212" s="216"/>
      <c r="N212" s="215"/>
      <c r="O212" s="216"/>
      <c r="P212" s="215"/>
      <c r="Q212" s="216"/>
      <c r="R212" s="215"/>
      <c r="S212" s="216"/>
      <c r="T212" s="215"/>
      <c r="U212" s="216"/>
      <c r="V212" s="215"/>
      <c r="W212" s="216"/>
      <c r="X212" s="215"/>
      <c r="Y212" s="216"/>
      <c r="Z212" s="215"/>
      <c r="AA212" s="216"/>
      <c r="AB212" s="217" t="e">
        <f t="shared" si="6"/>
        <v>#DIV/0!</v>
      </c>
      <c r="AC212" s="210" t="e">
        <f t="shared" si="7"/>
        <v>#DIV/0!</v>
      </c>
    </row>
    <row r="213" spans="2:29" ht="35.1" customHeight="1" thickBot="1" x14ac:dyDescent="0.25">
      <c r="B213" s="218"/>
      <c r="C213" s="218"/>
      <c r="D213" s="218"/>
      <c r="E213" s="218"/>
      <c r="F213" s="219"/>
      <c r="G213" s="220"/>
      <c r="H213" s="220"/>
      <c r="I213" s="221"/>
      <c r="J213" s="222"/>
      <c r="K213" s="221"/>
      <c r="L213" s="222"/>
      <c r="M213" s="223"/>
      <c r="N213" s="222"/>
      <c r="O213" s="223"/>
      <c r="P213" s="222"/>
      <c r="Q213" s="223"/>
      <c r="R213" s="222"/>
      <c r="S213" s="223"/>
      <c r="T213" s="222"/>
      <c r="U213" s="223"/>
      <c r="V213" s="222"/>
      <c r="W213" s="223"/>
      <c r="X213" s="222"/>
      <c r="Y213" s="223"/>
      <c r="Z213" s="222"/>
      <c r="AA213" s="223"/>
      <c r="AB213" s="217" t="e">
        <f t="shared" si="6"/>
        <v>#DIV/0!</v>
      </c>
      <c r="AC213" s="210" t="e">
        <f t="shared" si="7"/>
        <v>#DIV/0!</v>
      </c>
    </row>
    <row r="214" spans="2:29" ht="35.1" customHeight="1" thickTop="1" x14ac:dyDescent="0.2">
      <c r="B214" s="205"/>
      <c r="C214" s="205"/>
      <c r="D214" s="205"/>
      <c r="E214" s="205"/>
      <c r="F214" s="205"/>
      <c r="G214" s="206"/>
      <c r="H214" s="206"/>
      <c r="I214" s="207"/>
      <c r="J214" s="208"/>
      <c r="K214" s="207"/>
      <c r="L214" s="208"/>
      <c r="M214" s="209"/>
      <c r="N214" s="208"/>
      <c r="O214" s="209"/>
      <c r="P214" s="208"/>
      <c r="Q214" s="209"/>
      <c r="R214" s="208"/>
      <c r="S214" s="209"/>
      <c r="T214" s="208"/>
      <c r="U214" s="209"/>
      <c r="V214" s="208"/>
      <c r="W214" s="209"/>
      <c r="X214" s="208"/>
      <c r="Y214" s="209"/>
      <c r="Z214" s="208"/>
      <c r="AA214" s="209"/>
      <c r="AB214" s="217" t="e">
        <f t="shared" si="6"/>
        <v>#DIV/0!</v>
      </c>
      <c r="AC214" s="210" t="e">
        <f t="shared" si="7"/>
        <v>#DIV/0!</v>
      </c>
    </row>
    <row r="215" spans="2:29" ht="35.1" customHeight="1" x14ac:dyDescent="0.2">
      <c r="B215" s="211"/>
      <c r="C215" s="211"/>
      <c r="D215" s="211"/>
      <c r="E215" s="211"/>
      <c r="F215" s="212"/>
      <c r="G215" s="213"/>
      <c r="H215" s="213"/>
      <c r="I215" s="214"/>
      <c r="J215" s="215"/>
      <c r="K215" s="214"/>
      <c r="L215" s="215"/>
      <c r="M215" s="216"/>
      <c r="N215" s="215"/>
      <c r="O215" s="216"/>
      <c r="P215" s="215"/>
      <c r="Q215" s="216"/>
      <c r="R215" s="215"/>
      <c r="S215" s="216"/>
      <c r="T215" s="215"/>
      <c r="U215" s="216"/>
      <c r="V215" s="215"/>
      <c r="W215" s="216"/>
      <c r="X215" s="215"/>
      <c r="Y215" s="216"/>
      <c r="Z215" s="215"/>
      <c r="AA215" s="216"/>
      <c r="AB215" s="217" t="e">
        <f t="shared" si="6"/>
        <v>#DIV/0!</v>
      </c>
      <c r="AC215" s="210" t="e">
        <f t="shared" si="7"/>
        <v>#DIV/0!</v>
      </c>
    </row>
    <row r="216" spans="2:29" ht="35.1" customHeight="1" x14ac:dyDescent="0.2">
      <c r="B216" s="211"/>
      <c r="C216" s="211"/>
      <c r="D216" s="211"/>
      <c r="E216" s="211"/>
      <c r="F216" s="212"/>
      <c r="G216" s="213"/>
      <c r="H216" s="213"/>
      <c r="I216" s="214"/>
      <c r="J216" s="215"/>
      <c r="K216" s="214"/>
      <c r="L216" s="215"/>
      <c r="M216" s="216"/>
      <c r="N216" s="215"/>
      <c r="O216" s="216"/>
      <c r="P216" s="215"/>
      <c r="Q216" s="216"/>
      <c r="R216" s="215"/>
      <c r="S216" s="216"/>
      <c r="T216" s="215"/>
      <c r="U216" s="216"/>
      <c r="V216" s="215"/>
      <c r="W216" s="216"/>
      <c r="X216" s="215"/>
      <c r="Y216" s="216"/>
      <c r="Z216" s="215"/>
      <c r="AA216" s="216"/>
      <c r="AB216" s="217" t="e">
        <f t="shared" si="6"/>
        <v>#DIV/0!</v>
      </c>
      <c r="AC216" s="210" t="e">
        <f t="shared" si="7"/>
        <v>#DIV/0!</v>
      </c>
    </row>
    <row r="217" spans="2:29" ht="35.1" customHeight="1" x14ac:dyDescent="0.2">
      <c r="B217" s="211"/>
      <c r="C217" s="211"/>
      <c r="D217" s="211"/>
      <c r="E217" s="211"/>
      <c r="F217" s="212"/>
      <c r="G217" s="213"/>
      <c r="H217" s="213"/>
      <c r="I217" s="214"/>
      <c r="J217" s="215"/>
      <c r="K217" s="214"/>
      <c r="L217" s="215"/>
      <c r="M217" s="216"/>
      <c r="N217" s="215"/>
      <c r="O217" s="216"/>
      <c r="P217" s="215"/>
      <c r="Q217" s="216"/>
      <c r="R217" s="215"/>
      <c r="S217" s="216"/>
      <c r="T217" s="215"/>
      <c r="U217" s="216"/>
      <c r="V217" s="215"/>
      <c r="W217" s="216"/>
      <c r="X217" s="215"/>
      <c r="Y217" s="216"/>
      <c r="Z217" s="215"/>
      <c r="AA217" s="216"/>
      <c r="AB217" s="217" t="e">
        <f t="shared" si="6"/>
        <v>#DIV/0!</v>
      </c>
      <c r="AC217" s="210" t="e">
        <f t="shared" si="7"/>
        <v>#DIV/0!</v>
      </c>
    </row>
    <row r="218" spans="2:29" ht="35.1" customHeight="1" x14ac:dyDescent="0.2">
      <c r="B218" s="211"/>
      <c r="C218" s="211"/>
      <c r="D218" s="211"/>
      <c r="E218" s="211"/>
      <c r="F218" s="212"/>
      <c r="G218" s="213"/>
      <c r="H218" s="213"/>
      <c r="I218" s="214"/>
      <c r="J218" s="215"/>
      <c r="K218" s="214"/>
      <c r="L218" s="215"/>
      <c r="M218" s="216"/>
      <c r="N218" s="215"/>
      <c r="O218" s="216"/>
      <c r="P218" s="215"/>
      <c r="Q218" s="216"/>
      <c r="R218" s="215"/>
      <c r="S218" s="216"/>
      <c r="T218" s="215"/>
      <c r="U218" s="216"/>
      <c r="V218" s="215"/>
      <c r="W218" s="216"/>
      <c r="X218" s="215"/>
      <c r="Y218" s="216"/>
      <c r="Z218" s="215"/>
      <c r="AA218" s="216"/>
      <c r="AB218" s="217" t="e">
        <f t="shared" si="6"/>
        <v>#DIV/0!</v>
      </c>
      <c r="AC218" s="210" t="e">
        <f t="shared" si="7"/>
        <v>#DIV/0!</v>
      </c>
    </row>
    <row r="219" spans="2:29" ht="47.25" customHeight="1" x14ac:dyDescent="0.2">
      <c r="B219" s="211"/>
      <c r="C219" s="211"/>
      <c r="D219" s="211"/>
      <c r="E219" s="211"/>
      <c r="F219" s="212"/>
      <c r="G219" s="213"/>
      <c r="H219" s="213"/>
      <c r="I219" s="214"/>
      <c r="J219" s="215"/>
      <c r="K219" s="214"/>
      <c r="L219" s="215"/>
      <c r="M219" s="216"/>
      <c r="N219" s="215"/>
      <c r="O219" s="216"/>
      <c r="P219" s="215"/>
      <c r="Q219" s="216"/>
      <c r="R219" s="215"/>
      <c r="S219" s="216"/>
      <c r="T219" s="215"/>
      <c r="U219" s="216"/>
      <c r="V219" s="215"/>
      <c r="W219" s="216"/>
      <c r="X219" s="215"/>
      <c r="Y219" s="216"/>
      <c r="Z219" s="215"/>
      <c r="AA219" s="216"/>
      <c r="AB219" s="217" t="e">
        <f t="shared" si="6"/>
        <v>#DIV/0!</v>
      </c>
      <c r="AC219" s="210" t="e">
        <f t="shared" si="7"/>
        <v>#DIV/0!</v>
      </c>
    </row>
    <row r="220" spans="2:29" ht="35.1" customHeight="1" thickBot="1" x14ac:dyDescent="0.25">
      <c r="B220" s="218"/>
      <c r="C220" s="218"/>
      <c r="D220" s="218"/>
      <c r="E220" s="218"/>
      <c r="F220" s="219"/>
      <c r="G220" s="220"/>
      <c r="H220" s="220"/>
      <c r="I220" s="221"/>
      <c r="J220" s="222"/>
      <c r="K220" s="221"/>
      <c r="L220" s="222"/>
      <c r="M220" s="223"/>
      <c r="N220" s="222"/>
      <c r="O220" s="223"/>
      <c r="P220" s="222"/>
      <c r="Q220" s="223"/>
      <c r="R220" s="222"/>
      <c r="S220" s="223"/>
      <c r="T220" s="222"/>
      <c r="U220" s="223"/>
      <c r="V220" s="222"/>
      <c r="W220" s="223"/>
      <c r="X220" s="222"/>
      <c r="Y220" s="223"/>
      <c r="Z220" s="222"/>
      <c r="AA220" s="223"/>
      <c r="AB220" s="217" t="e">
        <f t="shared" si="6"/>
        <v>#DIV/0!</v>
      </c>
      <c r="AC220" s="210" t="e">
        <f t="shared" si="7"/>
        <v>#DIV/0!</v>
      </c>
    </row>
    <row r="221" spans="2:29" ht="35.1" customHeight="1" thickTop="1" x14ac:dyDescent="0.2">
      <c r="B221" s="205"/>
      <c r="C221" s="205"/>
      <c r="D221" s="205"/>
      <c r="E221" s="205"/>
      <c r="F221" s="205"/>
      <c r="G221" s="206"/>
      <c r="H221" s="206"/>
      <c r="I221" s="207"/>
      <c r="J221" s="208"/>
      <c r="K221" s="207"/>
      <c r="L221" s="208"/>
      <c r="M221" s="209"/>
      <c r="N221" s="208"/>
      <c r="O221" s="209"/>
      <c r="P221" s="208"/>
      <c r="Q221" s="209"/>
      <c r="R221" s="208"/>
      <c r="S221" s="209"/>
      <c r="T221" s="208"/>
      <c r="U221" s="209"/>
      <c r="V221" s="208"/>
      <c r="W221" s="209"/>
      <c r="X221" s="208"/>
      <c r="Y221" s="209"/>
      <c r="Z221" s="208"/>
      <c r="AA221" s="209"/>
      <c r="AB221" s="217" t="e">
        <f t="shared" si="6"/>
        <v>#DIV/0!</v>
      </c>
      <c r="AC221" s="210" t="e">
        <f t="shared" si="7"/>
        <v>#DIV/0!</v>
      </c>
    </row>
    <row r="222" spans="2:29" ht="35.1" customHeight="1" x14ac:dyDescent="0.2">
      <c r="B222" s="211"/>
      <c r="C222" s="211"/>
      <c r="D222" s="211"/>
      <c r="E222" s="211"/>
      <c r="F222" s="212"/>
      <c r="G222" s="213"/>
      <c r="H222" s="213"/>
      <c r="I222" s="214"/>
      <c r="J222" s="215"/>
      <c r="K222" s="214"/>
      <c r="L222" s="215"/>
      <c r="M222" s="216"/>
      <c r="N222" s="215"/>
      <c r="O222" s="216"/>
      <c r="P222" s="215"/>
      <c r="Q222" s="216"/>
      <c r="R222" s="215"/>
      <c r="S222" s="216"/>
      <c r="T222" s="215"/>
      <c r="U222" s="216"/>
      <c r="V222" s="215"/>
      <c r="W222" s="216"/>
      <c r="X222" s="215"/>
      <c r="Y222" s="216"/>
      <c r="Z222" s="215"/>
      <c r="AA222" s="216"/>
      <c r="AB222" s="217" t="e">
        <f t="shared" si="6"/>
        <v>#DIV/0!</v>
      </c>
      <c r="AC222" s="210" t="e">
        <f t="shared" si="7"/>
        <v>#DIV/0!</v>
      </c>
    </row>
    <row r="223" spans="2:29" ht="35.1" customHeight="1" x14ac:dyDescent="0.2">
      <c r="B223" s="211"/>
      <c r="C223" s="211"/>
      <c r="D223" s="211"/>
      <c r="E223" s="211"/>
      <c r="F223" s="212"/>
      <c r="G223" s="213"/>
      <c r="H223" s="213"/>
      <c r="I223" s="214"/>
      <c r="J223" s="215"/>
      <c r="K223" s="214"/>
      <c r="L223" s="215"/>
      <c r="M223" s="216"/>
      <c r="N223" s="215"/>
      <c r="O223" s="216"/>
      <c r="P223" s="215"/>
      <c r="Q223" s="216"/>
      <c r="R223" s="215"/>
      <c r="S223" s="216"/>
      <c r="T223" s="215"/>
      <c r="U223" s="216"/>
      <c r="V223" s="215"/>
      <c r="W223" s="216"/>
      <c r="X223" s="215"/>
      <c r="Y223" s="216"/>
      <c r="Z223" s="215"/>
      <c r="AA223" s="216"/>
      <c r="AB223" s="217" t="e">
        <f t="shared" si="6"/>
        <v>#DIV/0!</v>
      </c>
      <c r="AC223" s="210" t="e">
        <f t="shared" si="7"/>
        <v>#DIV/0!</v>
      </c>
    </row>
    <row r="224" spans="2:29" ht="35.1" customHeight="1" x14ac:dyDescent="0.2">
      <c r="B224" s="211"/>
      <c r="C224" s="211"/>
      <c r="D224" s="211"/>
      <c r="E224" s="211"/>
      <c r="F224" s="212"/>
      <c r="G224" s="213"/>
      <c r="H224" s="213"/>
      <c r="I224" s="214"/>
      <c r="J224" s="215"/>
      <c r="K224" s="214"/>
      <c r="L224" s="215"/>
      <c r="M224" s="216"/>
      <c r="N224" s="215"/>
      <c r="O224" s="216"/>
      <c r="P224" s="215"/>
      <c r="Q224" s="216"/>
      <c r="R224" s="215"/>
      <c r="S224" s="216"/>
      <c r="T224" s="215"/>
      <c r="U224" s="216"/>
      <c r="V224" s="215"/>
      <c r="W224" s="216"/>
      <c r="X224" s="215"/>
      <c r="Y224" s="216"/>
      <c r="Z224" s="215"/>
      <c r="AA224" s="216"/>
      <c r="AB224" s="217" t="e">
        <f t="shared" si="6"/>
        <v>#DIV/0!</v>
      </c>
      <c r="AC224" s="210" t="e">
        <f t="shared" si="7"/>
        <v>#DIV/0!</v>
      </c>
    </row>
    <row r="225" spans="2:29" ht="35.1" customHeight="1" x14ac:dyDescent="0.2">
      <c r="B225" s="211"/>
      <c r="C225" s="211"/>
      <c r="D225" s="211"/>
      <c r="E225" s="211"/>
      <c r="F225" s="212"/>
      <c r="G225" s="213"/>
      <c r="H225" s="213"/>
      <c r="I225" s="214"/>
      <c r="J225" s="215"/>
      <c r="K225" s="214"/>
      <c r="L225" s="215"/>
      <c r="M225" s="216"/>
      <c r="N225" s="215"/>
      <c r="O225" s="216"/>
      <c r="P225" s="215"/>
      <c r="Q225" s="216"/>
      <c r="R225" s="215"/>
      <c r="S225" s="216"/>
      <c r="T225" s="215"/>
      <c r="U225" s="216"/>
      <c r="V225" s="215"/>
      <c r="W225" s="216"/>
      <c r="X225" s="215"/>
      <c r="Y225" s="216"/>
      <c r="Z225" s="215"/>
      <c r="AA225" s="216"/>
      <c r="AB225" s="217" t="e">
        <f t="shared" si="6"/>
        <v>#DIV/0!</v>
      </c>
      <c r="AC225" s="210" t="e">
        <f t="shared" si="7"/>
        <v>#DIV/0!</v>
      </c>
    </row>
    <row r="226" spans="2:29" ht="47.25" customHeight="1" x14ac:dyDescent="0.2">
      <c r="B226" s="211"/>
      <c r="C226" s="211"/>
      <c r="D226" s="211"/>
      <c r="E226" s="211"/>
      <c r="F226" s="212"/>
      <c r="G226" s="213"/>
      <c r="H226" s="213"/>
      <c r="I226" s="214"/>
      <c r="J226" s="215"/>
      <c r="K226" s="214"/>
      <c r="L226" s="215"/>
      <c r="M226" s="216"/>
      <c r="N226" s="215"/>
      <c r="O226" s="216"/>
      <c r="P226" s="215"/>
      <c r="Q226" s="216"/>
      <c r="R226" s="215"/>
      <c r="S226" s="216"/>
      <c r="T226" s="215"/>
      <c r="U226" s="216"/>
      <c r="V226" s="215"/>
      <c r="W226" s="216"/>
      <c r="X226" s="215"/>
      <c r="Y226" s="216"/>
      <c r="Z226" s="215"/>
      <c r="AA226" s="216"/>
      <c r="AB226" s="217" t="e">
        <f t="shared" si="6"/>
        <v>#DIV/0!</v>
      </c>
      <c r="AC226" s="210" t="e">
        <f t="shared" si="7"/>
        <v>#DIV/0!</v>
      </c>
    </row>
    <row r="227" spans="2:29" ht="35.1" customHeight="1" thickBot="1" x14ac:dyDescent="0.25">
      <c r="B227" s="218"/>
      <c r="C227" s="218"/>
      <c r="D227" s="218"/>
      <c r="E227" s="218"/>
      <c r="F227" s="219"/>
      <c r="G227" s="220"/>
      <c r="H227" s="220"/>
      <c r="I227" s="221"/>
      <c r="J227" s="222"/>
      <c r="K227" s="221"/>
      <c r="L227" s="222"/>
      <c r="M227" s="223"/>
      <c r="N227" s="222"/>
      <c r="O227" s="223"/>
      <c r="P227" s="222"/>
      <c r="Q227" s="223"/>
      <c r="R227" s="222"/>
      <c r="S227" s="223"/>
      <c r="T227" s="222"/>
      <c r="U227" s="223"/>
      <c r="V227" s="222"/>
      <c r="W227" s="223"/>
      <c r="X227" s="222"/>
      <c r="Y227" s="223"/>
      <c r="Z227" s="222"/>
      <c r="AA227" s="223"/>
      <c r="AB227" s="217" t="e">
        <f t="shared" si="6"/>
        <v>#DIV/0!</v>
      </c>
      <c r="AC227" s="210" t="e">
        <f t="shared" si="7"/>
        <v>#DIV/0!</v>
      </c>
    </row>
    <row r="228" spans="2:29" ht="35.1" customHeight="1" thickTop="1" x14ac:dyDescent="0.2">
      <c r="B228" s="205"/>
      <c r="C228" s="205"/>
      <c r="D228" s="205"/>
      <c r="E228" s="205"/>
      <c r="F228" s="205"/>
      <c r="G228" s="206"/>
      <c r="H228" s="206"/>
      <c r="I228" s="207"/>
      <c r="J228" s="208"/>
      <c r="K228" s="207"/>
      <c r="L228" s="208"/>
      <c r="M228" s="209"/>
      <c r="N228" s="208"/>
      <c r="O228" s="209"/>
      <c r="P228" s="208"/>
      <c r="Q228" s="209"/>
      <c r="R228" s="208"/>
      <c r="S228" s="209"/>
      <c r="T228" s="208"/>
      <c r="U228" s="209"/>
      <c r="V228" s="208"/>
      <c r="W228" s="209"/>
      <c r="X228" s="208"/>
      <c r="Y228" s="209"/>
      <c r="Z228" s="208"/>
      <c r="AA228" s="209"/>
      <c r="AB228" s="217" t="e">
        <f t="shared" si="6"/>
        <v>#DIV/0!</v>
      </c>
      <c r="AC228" s="210" t="e">
        <f t="shared" si="7"/>
        <v>#DIV/0!</v>
      </c>
    </row>
    <row r="229" spans="2:29" ht="35.1" customHeight="1" x14ac:dyDescent="0.2">
      <c r="B229" s="211"/>
      <c r="C229" s="211"/>
      <c r="D229" s="211"/>
      <c r="E229" s="211"/>
      <c r="F229" s="212"/>
      <c r="G229" s="213"/>
      <c r="H229" s="213"/>
      <c r="I229" s="214"/>
      <c r="J229" s="215"/>
      <c r="K229" s="214"/>
      <c r="L229" s="215"/>
      <c r="M229" s="216"/>
      <c r="N229" s="215"/>
      <c r="O229" s="216"/>
      <c r="P229" s="215"/>
      <c r="Q229" s="216"/>
      <c r="R229" s="215"/>
      <c r="S229" s="216"/>
      <c r="T229" s="215"/>
      <c r="U229" s="216"/>
      <c r="V229" s="215"/>
      <c r="W229" s="216"/>
      <c r="X229" s="215"/>
      <c r="Y229" s="216"/>
      <c r="Z229" s="215"/>
      <c r="AA229" s="216"/>
      <c r="AB229" s="217" t="e">
        <f t="shared" si="6"/>
        <v>#DIV/0!</v>
      </c>
      <c r="AC229" s="210" t="e">
        <f t="shared" si="7"/>
        <v>#DIV/0!</v>
      </c>
    </row>
    <row r="230" spans="2:29" ht="35.1" customHeight="1" x14ac:dyDescent="0.2">
      <c r="B230" s="211"/>
      <c r="C230" s="211"/>
      <c r="D230" s="211"/>
      <c r="E230" s="211"/>
      <c r="F230" s="212"/>
      <c r="G230" s="213"/>
      <c r="H230" s="213"/>
      <c r="I230" s="214"/>
      <c r="J230" s="215"/>
      <c r="K230" s="214"/>
      <c r="L230" s="215"/>
      <c r="M230" s="216"/>
      <c r="N230" s="215"/>
      <c r="O230" s="216"/>
      <c r="P230" s="215"/>
      <c r="Q230" s="216"/>
      <c r="R230" s="215"/>
      <c r="S230" s="216"/>
      <c r="T230" s="215"/>
      <c r="U230" s="216"/>
      <c r="V230" s="215"/>
      <c r="W230" s="216"/>
      <c r="X230" s="215"/>
      <c r="Y230" s="216"/>
      <c r="Z230" s="215"/>
      <c r="AA230" s="216"/>
      <c r="AB230" s="217" t="e">
        <f t="shared" si="6"/>
        <v>#DIV/0!</v>
      </c>
      <c r="AC230" s="210" t="e">
        <f t="shared" si="7"/>
        <v>#DIV/0!</v>
      </c>
    </row>
    <row r="231" spans="2:29" ht="35.1" customHeight="1" x14ac:dyDescent="0.2">
      <c r="B231" s="211"/>
      <c r="C231" s="211"/>
      <c r="D231" s="211"/>
      <c r="E231" s="211"/>
      <c r="F231" s="212"/>
      <c r="G231" s="213"/>
      <c r="H231" s="213"/>
      <c r="I231" s="214"/>
      <c r="J231" s="215"/>
      <c r="K231" s="214"/>
      <c r="L231" s="215"/>
      <c r="M231" s="216"/>
      <c r="N231" s="215"/>
      <c r="O231" s="216"/>
      <c r="P231" s="215"/>
      <c r="Q231" s="216"/>
      <c r="R231" s="215"/>
      <c r="S231" s="216"/>
      <c r="T231" s="215"/>
      <c r="U231" s="216"/>
      <c r="V231" s="215"/>
      <c r="W231" s="216"/>
      <c r="X231" s="215"/>
      <c r="Y231" s="216"/>
      <c r="Z231" s="215"/>
      <c r="AA231" s="216"/>
      <c r="AB231" s="217" t="e">
        <f t="shared" si="6"/>
        <v>#DIV/0!</v>
      </c>
      <c r="AC231" s="210" t="e">
        <f t="shared" si="7"/>
        <v>#DIV/0!</v>
      </c>
    </row>
    <row r="232" spans="2:29" ht="35.1" customHeight="1" x14ac:dyDescent="0.2">
      <c r="B232" s="211"/>
      <c r="C232" s="211"/>
      <c r="D232" s="211"/>
      <c r="E232" s="211"/>
      <c r="F232" s="212"/>
      <c r="G232" s="213"/>
      <c r="H232" s="213"/>
      <c r="I232" s="214"/>
      <c r="J232" s="215"/>
      <c r="K232" s="214"/>
      <c r="L232" s="215"/>
      <c r="M232" s="216"/>
      <c r="N232" s="215"/>
      <c r="O232" s="216"/>
      <c r="P232" s="215"/>
      <c r="Q232" s="216"/>
      <c r="R232" s="215"/>
      <c r="S232" s="216"/>
      <c r="T232" s="215"/>
      <c r="U232" s="216"/>
      <c r="V232" s="215"/>
      <c r="W232" s="216"/>
      <c r="X232" s="215"/>
      <c r="Y232" s="216"/>
      <c r="Z232" s="215"/>
      <c r="AA232" s="216"/>
      <c r="AB232" s="217" t="e">
        <f t="shared" si="6"/>
        <v>#DIV/0!</v>
      </c>
      <c r="AC232" s="210" t="e">
        <f t="shared" si="7"/>
        <v>#DIV/0!</v>
      </c>
    </row>
    <row r="233" spans="2:29" ht="47.25" customHeight="1" x14ac:dyDescent="0.2">
      <c r="B233" s="211"/>
      <c r="C233" s="211"/>
      <c r="D233" s="211"/>
      <c r="E233" s="211"/>
      <c r="F233" s="212"/>
      <c r="G233" s="213"/>
      <c r="H233" s="213"/>
      <c r="I233" s="214"/>
      <c r="J233" s="215"/>
      <c r="K233" s="214"/>
      <c r="L233" s="215"/>
      <c r="M233" s="216"/>
      <c r="N233" s="215"/>
      <c r="O233" s="216"/>
      <c r="P233" s="215"/>
      <c r="Q233" s="216"/>
      <c r="R233" s="215"/>
      <c r="S233" s="216"/>
      <c r="T233" s="215"/>
      <c r="U233" s="216"/>
      <c r="V233" s="215"/>
      <c r="W233" s="216"/>
      <c r="X233" s="215"/>
      <c r="Y233" s="216"/>
      <c r="Z233" s="215"/>
      <c r="AA233" s="216"/>
      <c r="AB233" s="217" t="e">
        <f t="shared" si="6"/>
        <v>#DIV/0!</v>
      </c>
      <c r="AC233" s="210" t="e">
        <f t="shared" si="7"/>
        <v>#DIV/0!</v>
      </c>
    </row>
    <row r="234" spans="2:29" ht="35.1" customHeight="1" thickBot="1" x14ac:dyDescent="0.25">
      <c r="B234" s="218"/>
      <c r="C234" s="218"/>
      <c r="D234" s="218"/>
      <c r="E234" s="218"/>
      <c r="F234" s="219"/>
      <c r="G234" s="220"/>
      <c r="H234" s="220"/>
      <c r="I234" s="221"/>
      <c r="J234" s="222"/>
      <c r="K234" s="221"/>
      <c r="L234" s="222"/>
      <c r="M234" s="223"/>
      <c r="N234" s="222"/>
      <c r="O234" s="223"/>
      <c r="P234" s="222"/>
      <c r="Q234" s="223"/>
      <c r="R234" s="222"/>
      <c r="S234" s="223"/>
      <c r="T234" s="222"/>
      <c r="U234" s="223"/>
      <c r="V234" s="222"/>
      <c r="W234" s="223"/>
      <c r="X234" s="222"/>
      <c r="Y234" s="223"/>
      <c r="Z234" s="222"/>
      <c r="AA234" s="223"/>
      <c r="AB234" s="217" t="e">
        <f t="shared" si="6"/>
        <v>#DIV/0!</v>
      </c>
      <c r="AC234" s="210" t="e">
        <f t="shared" si="7"/>
        <v>#DIV/0!</v>
      </c>
    </row>
    <row r="235" spans="2:29" ht="35.1" customHeight="1" thickTop="1" x14ac:dyDescent="0.2">
      <c r="B235" s="205"/>
      <c r="C235" s="205"/>
      <c r="D235" s="205"/>
      <c r="E235" s="205"/>
      <c r="F235" s="205"/>
      <c r="G235" s="206"/>
      <c r="H235" s="206"/>
      <c r="I235" s="207"/>
      <c r="J235" s="208"/>
      <c r="K235" s="207"/>
      <c r="L235" s="208"/>
      <c r="M235" s="209"/>
      <c r="N235" s="208"/>
      <c r="O235" s="209"/>
      <c r="P235" s="208"/>
      <c r="Q235" s="209"/>
      <c r="R235" s="208"/>
      <c r="S235" s="209"/>
      <c r="T235" s="208"/>
      <c r="U235" s="209"/>
      <c r="V235" s="208"/>
      <c r="W235" s="209"/>
      <c r="X235" s="208"/>
      <c r="Y235" s="209"/>
      <c r="Z235" s="208"/>
      <c r="AA235" s="209"/>
      <c r="AB235" s="217" t="e">
        <f t="shared" si="6"/>
        <v>#DIV/0!</v>
      </c>
      <c r="AC235" s="210" t="e">
        <f t="shared" si="7"/>
        <v>#DIV/0!</v>
      </c>
    </row>
    <row r="236" spans="2:29" ht="35.1" customHeight="1" x14ac:dyDescent="0.2">
      <c r="B236" s="211"/>
      <c r="C236" s="211"/>
      <c r="D236" s="211"/>
      <c r="E236" s="211"/>
      <c r="F236" s="212"/>
      <c r="G236" s="213"/>
      <c r="H236" s="213"/>
      <c r="I236" s="214"/>
      <c r="J236" s="215"/>
      <c r="K236" s="214"/>
      <c r="L236" s="215"/>
      <c r="M236" s="216"/>
      <c r="N236" s="215"/>
      <c r="O236" s="216"/>
      <c r="P236" s="215"/>
      <c r="Q236" s="216"/>
      <c r="R236" s="215"/>
      <c r="S236" s="216"/>
      <c r="T236" s="215"/>
      <c r="U236" s="216"/>
      <c r="V236" s="215"/>
      <c r="W236" s="216"/>
      <c r="X236" s="215"/>
      <c r="Y236" s="216"/>
      <c r="Z236" s="215"/>
      <c r="AA236" s="216"/>
      <c r="AB236" s="217" t="e">
        <f t="shared" si="6"/>
        <v>#DIV/0!</v>
      </c>
      <c r="AC236" s="210" t="e">
        <f t="shared" si="7"/>
        <v>#DIV/0!</v>
      </c>
    </row>
    <row r="237" spans="2:29" ht="35.1" customHeight="1" x14ac:dyDescent="0.2">
      <c r="B237" s="211"/>
      <c r="C237" s="211"/>
      <c r="D237" s="211"/>
      <c r="E237" s="211"/>
      <c r="F237" s="212"/>
      <c r="G237" s="213"/>
      <c r="H237" s="213"/>
      <c r="I237" s="214"/>
      <c r="J237" s="215"/>
      <c r="K237" s="214"/>
      <c r="L237" s="215"/>
      <c r="M237" s="216"/>
      <c r="N237" s="215"/>
      <c r="O237" s="216"/>
      <c r="P237" s="215"/>
      <c r="Q237" s="216"/>
      <c r="R237" s="215"/>
      <c r="S237" s="216"/>
      <c r="T237" s="215"/>
      <c r="U237" s="216"/>
      <c r="V237" s="215"/>
      <c r="W237" s="216"/>
      <c r="X237" s="215"/>
      <c r="Y237" s="216"/>
      <c r="Z237" s="215"/>
      <c r="AA237" s="216"/>
      <c r="AB237" s="217" t="e">
        <f t="shared" si="6"/>
        <v>#DIV/0!</v>
      </c>
      <c r="AC237" s="210" t="e">
        <f t="shared" si="7"/>
        <v>#DIV/0!</v>
      </c>
    </row>
    <row r="238" spans="2:29" ht="35.1" customHeight="1" x14ac:dyDescent="0.2">
      <c r="B238" s="211"/>
      <c r="C238" s="211"/>
      <c r="D238" s="211"/>
      <c r="E238" s="211"/>
      <c r="F238" s="212"/>
      <c r="G238" s="213"/>
      <c r="H238" s="213"/>
      <c r="I238" s="214"/>
      <c r="J238" s="215"/>
      <c r="K238" s="214"/>
      <c r="L238" s="215"/>
      <c r="M238" s="216"/>
      <c r="N238" s="215"/>
      <c r="O238" s="216"/>
      <c r="P238" s="215"/>
      <c r="Q238" s="216"/>
      <c r="R238" s="215"/>
      <c r="S238" s="216"/>
      <c r="T238" s="215"/>
      <c r="U238" s="216"/>
      <c r="V238" s="215"/>
      <c r="W238" s="216"/>
      <c r="X238" s="215"/>
      <c r="Y238" s="216"/>
      <c r="Z238" s="215"/>
      <c r="AA238" s="216"/>
      <c r="AB238" s="217" t="e">
        <f t="shared" si="6"/>
        <v>#DIV/0!</v>
      </c>
      <c r="AC238" s="210" t="e">
        <f t="shared" si="7"/>
        <v>#DIV/0!</v>
      </c>
    </row>
    <row r="239" spans="2:29" ht="35.1" customHeight="1" x14ac:dyDescent="0.2">
      <c r="B239" s="211"/>
      <c r="C239" s="211"/>
      <c r="D239" s="211"/>
      <c r="E239" s="211"/>
      <c r="F239" s="212"/>
      <c r="G239" s="213"/>
      <c r="H239" s="213"/>
      <c r="I239" s="214"/>
      <c r="J239" s="215"/>
      <c r="K239" s="214"/>
      <c r="L239" s="215"/>
      <c r="M239" s="216"/>
      <c r="N239" s="215"/>
      <c r="O239" s="216"/>
      <c r="P239" s="215"/>
      <c r="Q239" s="216"/>
      <c r="R239" s="215"/>
      <c r="S239" s="216"/>
      <c r="T239" s="215"/>
      <c r="U239" s="216"/>
      <c r="V239" s="215"/>
      <c r="W239" s="216"/>
      <c r="X239" s="215"/>
      <c r="Y239" s="216"/>
      <c r="Z239" s="215"/>
      <c r="AA239" s="216"/>
      <c r="AB239" s="217" t="e">
        <f t="shared" si="6"/>
        <v>#DIV/0!</v>
      </c>
      <c r="AC239" s="210" t="e">
        <f t="shared" si="7"/>
        <v>#DIV/0!</v>
      </c>
    </row>
    <row r="240" spans="2:29" ht="47.25" customHeight="1" x14ac:dyDescent="0.2">
      <c r="B240" s="211"/>
      <c r="C240" s="211"/>
      <c r="D240" s="211"/>
      <c r="E240" s="211"/>
      <c r="F240" s="212"/>
      <c r="G240" s="213"/>
      <c r="H240" s="213"/>
      <c r="I240" s="214"/>
      <c r="J240" s="215"/>
      <c r="K240" s="214"/>
      <c r="L240" s="215"/>
      <c r="M240" s="216"/>
      <c r="N240" s="215"/>
      <c r="O240" s="216"/>
      <c r="P240" s="215"/>
      <c r="Q240" s="216"/>
      <c r="R240" s="215"/>
      <c r="S240" s="216"/>
      <c r="T240" s="215"/>
      <c r="U240" s="216"/>
      <c r="V240" s="215"/>
      <c r="W240" s="216"/>
      <c r="X240" s="215"/>
      <c r="Y240" s="216"/>
      <c r="Z240" s="215"/>
      <c r="AA240" s="216"/>
      <c r="AB240" s="217" t="e">
        <f t="shared" si="6"/>
        <v>#DIV/0!</v>
      </c>
      <c r="AC240" s="210" t="e">
        <f t="shared" si="7"/>
        <v>#DIV/0!</v>
      </c>
    </row>
    <row r="241" spans="2:29" ht="35.1" customHeight="1" thickBot="1" x14ac:dyDescent="0.25">
      <c r="B241" s="218"/>
      <c r="C241" s="218"/>
      <c r="D241" s="218"/>
      <c r="E241" s="218"/>
      <c r="F241" s="219"/>
      <c r="G241" s="220"/>
      <c r="H241" s="220"/>
      <c r="I241" s="221"/>
      <c r="J241" s="222"/>
      <c r="K241" s="221"/>
      <c r="L241" s="222"/>
      <c r="M241" s="223"/>
      <c r="N241" s="222"/>
      <c r="O241" s="223"/>
      <c r="P241" s="222"/>
      <c r="Q241" s="223"/>
      <c r="R241" s="222"/>
      <c r="S241" s="223"/>
      <c r="T241" s="222"/>
      <c r="U241" s="223"/>
      <c r="V241" s="222"/>
      <c r="W241" s="223"/>
      <c r="X241" s="222"/>
      <c r="Y241" s="223"/>
      <c r="Z241" s="222"/>
      <c r="AA241" s="223"/>
      <c r="AB241" s="217" t="e">
        <f t="shared" si="6"/>
        <v>#DIV/0!</v>
      </c>
      <c r="AC241" s="210" t="e">
        <f t="shared" si="7"/>
        <v>#DIV/0!</v>
      </c>
    </row>
    <row r="242" spans="2:29" ht="35.1" customHeight="1" thickTop="1" x14ac:dyDescent="0.2">
      <c r="B242" s="205"/>
      <c r="C242" s="205"/>
      <c r="D242" s="205"/>
      <c r="E242" s="205"/>
      <c r="F242" s="205"/>
      <c r="G242" s="206"/>
      <c r="H242" s="206"/>
      <c r="I242" s="207"/>
      <c r="J242" s="208"/>
      <c r="K242" s="207"/>
      <c r="L242" s="208"/>
      <c r="M242" s="209"/>
      <c r="N242" s="208"/>
      <c r="O242" s="209"/>
      <c r="P242" s="208"/>
      <c r="Q242" s="209"/>
      <c r="R242" s="208"/>
      <c r="S242" s="209"/>
      <c r="T242" s="208"/>
      <c r="U242" s="209"/>
      <c r="V242" s="208"/>
      <c r="W242" s="209"/>
      <c r="X242" s="208"/>
      <c r="Y242" s="209"/>
      <c r="Z242" s="208"/>
      <c r="AA242" s="209"/>
      <c r="AB242" s="217" t="e">
        <f t="shared" si="6"/>
        <v>#DIV/0!</v>
      </c>
      <c r="AC242" s="210" t="e">
        <f t="shared" si="7"/>
        <v>#DIV/0!</v>
      </c>
    </row>
    <row r="243" spans="2:29" ht="35.1" customHeight="1" x14ac:dyDescent="0.2">
      <c r="B243" s="211"/>
      <c r="C243" s="211"/>
      <c r="D243" s="211"/>
      <c r="E243" s="211"/>
      <c r="F243" s="212"/>
      <c r="G243" s="213"/>
      <c r="H243" s="213"/>
      <c r="I243" s="214"/>
      <c r="J243" s="215"/>
      <c r="K243" s="214"/>
      <c r="L243" s="215"/>
      <c r="M243" s="216"/>
      <c r="N243" s="215"/>
      <c r="O243" s="216"/>
      <c r="P243" s="215"/>
      <c r="Q243" s="216"/>
      <c r="R243" s="215"/>
      <c r="S243" s="216"/>
      <c r="T243" s="215"/>
      <c r="U243" s="216"/>
      <c r="V243" s="215"/>
      <c r="W243" s="216"/>
      <c r="X243" s="215"/>
      <c r="Y243" s="216"/>
      <c r="Z243" s="215"/>
      <c r="AA243" s="216"/>
      <c r="AB243" s="217" t="e">
        <f t="shared" si="6"/>
        <v>#DIV/0!</v>
      </c>
      <c r="AC243" s="210" t="e">
        <f t="shared" si="7"/>
        <v>#DIV/0!</v>
      </c>
    </row>
    <row r="244" spans="2:29" ht="35.1" customHeight="1" x14ac:dyDescent="0.2">
      <c r="B244" s="211"/>
      <c r="C244" s="211"/>
      <c r="D244" s="211"/>
      <c r="E244" s="211"/>
      <c r="F244" s="212"/>
      <c r="G244" s="213"/>
      <c r="H244" s="213"/>
      <c r="I244" s="214"/>
      <c r="J244" s="215"/>
      <c r="K244" s="214"/>
      <c r="L244" s="215"/>
      <c r="M244" s="216"/>
      <c r="N244" s="215"/>
      <c r="O244" s="216"/>
      <c r="P244" s="215"/>
      <c r="Q244" s="216"/>
      <c r="R244" s="215"/>
      <c r="S244" s="216"/>
      <c r="T244" s="215"/>
      <c r="U244" s="216"/>
      <c r="V244" s="215"/>
      <c r="W244" s="216"/>
      <c r="X244" s="215"/>
      <c r="Y244" s="216"/>
      <c r="Z244" s="215"/>
      <c r="AA244" s="216"/>
      <c r="AB244" s="217" t="e">
        <f t="shared" si="6"/>
        <v>#DIV/0!</v>
      </c>
      <c r="AC244" s="210" t="e">
        <f t="shared" si="7"/>
        <v>#DIV/0!</v>
      </c>
    </row>
    <row r="245" spans="2:29" ht="35.1" customHeight="1" x14ac:dyDescent="0.2">
      <c r="B245" s="211"/>
      <c r="C245" s="211"/>
      <c r="D245" s="211"/>
      <c r="E245" s="211"/>
      <c r="F245" s="212"/>
      <c r="G245" s="213"/>
      <c r="H245" s="213"/>
      <c r="I245" s="214"/>
      <c r="J245" s="215"/>
      <c r="K245" s="214"/>
      <c r="L245" s="215"/>
      <c r="M245" s="216"/>
      <c r="N245" s="215"/>
      <c r="O245" s="216"/>
      <c r="P245" s="215"/>
      <c r="Q245" s="216"/>
      <c r="R245" s="215"/>
      <c r="S245" s="216"/>
      <c r="T245" s="215"/>
      <c r="U245" s="216"/>
      <c r="V245" s="215"/>
      <c r="W245" s="216"/>
      <c r="X245" s="215"/>
      <c r="Y245" s="216"/>
      <c r="Z245" s="215"/>
      <c r="AA245" s="216"/>
      <c r="AB245" s="217" t="e">
        <f t="shared" si="6"/>
        <v>#DIV/0!</v>
      </c>
      <c r="AC245" s="210" t="e">
        <f t="shared" si="7"/>
        <v>#DIV/0!</v>
      </c>
    </row>
    <row r="246" spans="2:29" ht="35.1" customHeight="1" x14ac:dyDescent="0.2">
      <c r="B246" s="211"/>
      <c r="C246" s="211"/>
      <c r="D246" s="211"/>
      <c r="E246" s="211"/>
      <c r="F246" s="212"/>
      <c r="G246" s="213"/>
      <c r="H246" s="213"/>
      <c r="I246" s="214"/>
      <c r="J246" s="215"/>
      <c r="K246" s="214"/>
      <c r="L246" s="215"/>
      <c r="M246" s="216"/>
      <c r="N246" s="215"/>
      <c r="O246" s="216"/>
      <c r="P246" s="215"/>
      <c r="Q246" s="216"/>
      <c r="R246" s="215"/>
      <c r="S246" s="216"/>
      <c r="T246" s="215"/>
      <c r="U246" s="216"/>
      <c r="V246" s="215"/>
      <c r="W246" s="216"/>
      <c r="X246" s="215"/>
      <c r="Y246" s="216"/>
      <c r="Z246" s="215"/>
      <c r="AA246" s="216"/>
      <c r="AB246" s="217" t="e">
        <f t="shared" si="6"/>
        <v>#DIV/0!</v>
      </c>
      <c r="AC246" s="210" t="e">
        <f t="shared" si="7"/>
        <v>#DIV/0!</v>
      </c>
    </row>
    <row r="247" spans="2:29" ht="47.25" customHeight="1" x14ac:dyDescent="0.2">
      <c r="B247" s="211"/>
      <c r="C247" s="211"/>
      <c r="D247" s="211"/>
      <c r="E247" s="211"/>
      <c r="F247" s="212"/>
      <c r="G247" s="213"/>
      <c r="H247" s="213"/>
      <c r="I247" s="214"/>
      <c r="J247" s="215"/>
      <c r="K247" s="214"/>
      <c r="L247" s="215"/>
      <c r="M247" s="216"/>
      <c r="N247" s="215"/>
      <c r="O247" s="216"/>
      <c r="P247" s="215"/>
      <c r="Q247" s="216"/>
      <c r="R247" s="215"/>
      <c r="S247" s="216"/>
      <c r="T247" s="215"/>
      <c r="U247" s="216"/>
      <c r="V247" s="215"/>
      <c r="W247" s="216"/>
      <c r="X247" s="215"/>
      <c r="Y247" s="216"/>
      <c r="Z247" s="215"/>
      <c r="AA247" s="216"/>
      <c r="AB247" s="217" t="e">
        <f t="shared" si="6"/>
        <v>#DIV/0!</v>
      </c>
      <c r="AC247" s="210" t="e">
        <f t="shared" si="7"/>
        <v>#DIV/0!</v>
      </c>
    </row>
    <row r="248" spans="2:29" ht="35.1" customHeight="1" thickBot="1" x14ac:dyDescent="0.25">
      <c r="B248" s="218"/>
      <c r="C248" s="218"/>
      <c r="D248" s="218"/>
      <c r="E248" s="218"/>
      <c r="F248" s="219"/>
      <c r="G248" s="220"/>
      <c r="H248" s="220"/>
      <c r="I248" s="221"/>
      <c r="J248" s="222"/>
      <c r="K248" s="221"/>
      <c r="L248" s="222"/>
      <c r="M248" s="223"/>
      <c r="N248" s="222"/>
      <c r="O248" s="223"/>
      <c r="P248" s="222"/>
      <c r="Q248" s="223"/>
      <c r="R248" s="222"/>
      <c r="S248" s="223"/>
      <c r="T248" s="222"/>
      <c r="U248" s="223"/>
      <c r="V248" s="222"/>
      <c r="W248" s="223"/>
      <c r="X248" s="222"/>
      <c r="Y248" s="223"/>
      <c r="Z248" s="222"/>
      <c r="AA248" s="223"/>
      <c r="AB248" s="217" t="e">
        <f t="shared" si="6"/>
        <v>#DIV/0!</v>
      </c>
      <c r="AC248" s="210" t="e">
        <f t="shared" si="7"/>
        <v>#DIV/0!</v>
      </c>
    </row>
    <row r="249" spans="2:29" ht="35.1" customHeight="1" thickTop="1" x14ac:dyDescent="0.2">
      <c r="B249" s="205"/>
      <c r="C249" s="205"/>
      <c r="D249" s="205"/>
      <c r="E249" s="205"/>
      <c r="F249" s="205"/>
      <c r="G249" s="206"/>
      <c r="H249" s="206"/>
      <c r="I249" s="207"/>
      <c r="J249" s="208"/>
      <c r="K249" s="207"/>
      <c r="L249" s="208"/>
      <c r="M249" s="209"/>
      <c r="N249" s="208"/>
      <c r="O249" s="209"/>
      <c r="P249" s="208"/>
      <c r="Q249" s="209"/>
      <c r="R249" s="208"/>
      <c r="S249" s="209"/>
      <c r="T249" s="208"/>
      <c r="U249" s="209"/>
      <c r="V249" s="208"/>
      <c r="W249" s="209"/>
      <c r="X249" s="208"/>
      <c r="Y249" s="209"/>
      <c r="Z249" s="208"/>
      <c r="AA249" s="209"/>
      <c r="AB249" s="217" t="e">
        <f t="shared" si="6"/>
        <v>#DIV/0!</v>
      </c>
      <c r="AC249" s="210" t="e">
        <f t="shared" si="7"/>
        <v>#DIV/0!</v>
      </c>
    </row>
    <row r="250" spans="2:29" ht="35.1" customHeight="1" x14ac:dyDescent="0.2">
      <c r="B250" s="211"/>
      <c r="C250" s="211"/>
      <c r="D250" s="211"/>
      <c r="E250" s="211"/>
      <c r="F250" s="212"/>
      <c r="G250" s="213"/>
      <c r="H250" s="213"/>
      <c r="I250" s="214"/>
      <c r="J250" s="215"/>
      <c r="K250" s="214"/>
      <c r="L250" s="215"/>
      <c r="M250" s="216"/>
      <c r="N250" s="215"/>
      <c r="O250" s="216"/>
      <c r="P250" s="215"/>
      <c r="Q250" s="216"/>
      <c r="R250" s="215"/>
      <c r="S250" s="216"/>
      <c r="T250" s="215"/>
      <c r="U250" s="216"/>
      <c r="V250" s="215"/>
      <c r="W250" s="216"/>
      <c r="X250" s="215"/>
      <c r="Y250" s="216"/>
      <c r="Z250" s="215"/>
      <c r="AA250" s="216"/>
      <c r="AB250" s="217" t="e">
        <f t="shared" si="6"/>
        <v>#DIV/0!</v>
      </c>
      <c r="AC250" s="210" t="e">
        <f t="shared" si="7"/>
        <v>#DIV/0!</v>
      </c>
    </row>
    <row r="251" spans="2:29" ht="35.1" customHeight="1" x14ac:dyDescent="0.2">
      <c r="B251" s="211"/>
      <c r="C251" s="211"/>
      <c r="D251" s="211"/>
      <c r="E251" s="211"/>
      <c r="F251" s="212"/>
      <c r="G251" s="213"/>
      <c r="H251" s="213"/>
      <c r="I251" s="214"/>
      <c r="J251" s="215"/>
      <c r="K251" s="214"/>
      <c r="L251" s="215"/>
      <c r="M251" s="216"/>
      <c r="N251" s="215"/>
      <c r="O251" s="216"/>
      <c r="P251" s="215"/>
      <c r="Q251" s="216"/>
      <c r="R251" s="215"/>
      <c r="S251" s="216"/>
      <c r="T251" s="215"/>
      <c r="U251" s="216"/>
      <c r="V251" s="215"/>
      <c r="W251" s="216"/>
      <c r="X251" s="215"/>
      <c r="Y251" s="216"/>
      <c r="Z251" s="215"/>
      <c r="AA251" s="216"/>
      <c r="AB251" s="217" t="e">
        <f t="shared" si="6"/>
        <v>#DIV/0!</v>
      </c>
      <c r="AC251" s="210" t="e">
        <f t="shared" si="7"/>
        <v>#DIV/0!</v>
      </c>
    </row>
    <row r="252" spans="2:29" ht="35.1" customHeight="1" x14ac:dyDescent="0.2">
      <c r="B252" s="211"/>
      <c r="C252" s="211"/>
      <c r="D252" s="211"/>
      <c r="E252" s="211"/>
      <c r="F252" s="212"/>
      <c r="G252" s="213"/>
      <c r="H252" s="213"/>
      <c r="I252" s="214"/>
      <c r="J252" s="215"/>
      <c r="K252" s="214"/>
      <c r="L252" s="215"/>
      <c r="M252" s="216"/>
      <c r="N252" s="215"/>
      <c r="O252" s="216"/>
      <c r="P252" s="215"/>
      <c r="Q252" s="216"/>
      <c r="R252" s="215"/>
      <c r="S252" s="216"/>
      <c r="T252" s="215"/>
      <c r="U252" s="216"/>
      <c r="V252" s="215"/>
      <c r="W252" s="216"/>
      <c r="X252" s="215"/>
      <c r="Y252" s="216"/>
      <c r="Z252" s="215"/>
      <c r="AA252" s="216"/>
      <c r="AB252" s="217" t="e">
        <f t="shared" si="6"/>
        <v>#DIV/0!</v>
      </c>
      <c r="AC252" s="210" t="e">
        <f t="shared" si="7"/>
        <v>#DIV/0!</v>
      </c>
    </row>
    <row r="253" spans="2:29" ht="35.1" customHeight="1" x14ac:dyDescent="0.2">
      <c r="B253" s="211"/>
      <c r="C253" s="211"/>
      <c r="D253" s="211"/>
      <c r="E253" s="211"/>
      <c r="F253" s="212"/>
      <c r="G253" s="213"/>
      <c r="H253" s="213"/>
      <c r="I253" s="214"/>
      <c r="J253" s="215"/>
      <c r="K253" s="214"/>
      <c r="L253" s="215"/>
      <c r="M253" s="216"/>
      <c r="N253" s="215"/>
      <c r="O253" s="216"/>
      <c r="P253" s="215"/>
      <c r="Q253" s="216"/>
      <c r="R253" s="215"/>
      <c r="S253" s="216"/>
      <c r="T253" s="215"/>
      <c r="U253" s="216"/>
      <c r="V253" s="215"/>
      <c r="W253" s="216"/>
      <c r="X253" s="215"/>
      <c r="Y253" s="216"/>
      <c r="Z253" s="215"/>
      <c r="AA253" s="216"/>
      <c r="AB253" s="217" t="e">
        <f t="shared" si="6"/>
        <v>#DIV/0!</v>
      </c>
      <c r="AC253" s="210" t="e">
        <f t="shared" si="7"/>
        <v>#DIV/0!</v>
      </c>
    </row>
    <row r="254" spans="2:29" ht="47.25" customHeight="1" x14ac:dyDescent="0.2">
      <c r="B254" s="211"/>
      <c r="C254" s="211"/>
      <c r="D254" s="211"/>
      <c r="E254" s="211"/>
      <c r="F254" s="212"/>
      <c r="G254" s="213"/>
      <c r="H254" s="213"/>
      <c r="I254" s="214"/>
      <c r="J254" s="215"/>
      <c r="K254" s="214"/>
      <c r="L254" s="215"/>
      <c r="M254" s="216"/>
      <c r="N254" s="215"/>
      <c r="O254" s="216"/>
      <c r="P254" s="215"/>
      <c r="Q254" s="216"/>
      <c r="R254" s="215"/>
      <c r="S254" s="216"/>
      <c r="T254" s="215"/>
      <c r="U254" s="216"/>
      <c r="V254" s="215"/>
      <c r="W254" s="216"/>
      <c r="X254" s="215"/>
      <c r="Y254" s="216"/>
      <c r="Z254" s="215"/>
      <c r="AA254" s="216"/>
      <c r="AB254" s="217" t="e">
        <f t="shared" si="6"/>
        <v>#DIV/0!</v>
      </c>
      <c r="AC254" s="210" t="e">
        <f t="shared" si="7"/>
        <v>#DIV/0!</v>
      </c>
    </row>
    <row r="255" spans="2:29" ht="35.1" customHeight="1" thickBot="1" x14ac:dyDescent="0.25">
      <c r="B255" s="218"/>
      <c r="C255" s="218"/>
      <c r="D255" s="218"/>
      <c r="E255" s="218"/>
      <c r="F255" s="219"/>
      <c r="G255" s="220"/>
      <c r="H255" s="220"/>
      <c r="I255" s="221"/>
      <c r="J255" s="222"/>
      <c r="K255" s="221"/>
      <c r="L255" s="222"/>
      <c r="M255" s="223"/>
      <c r="N255" s="222"/>
      <c r="O255" s="223"/>
      <c r="P255" s="222"/>
      <c r="Q255" s="223"/>
      <c r="R255" s="222"/>
      <c r="S255" s="223"/>
      <c r="T255" s="222"/>
      <c r="U255" s="223"/>
      <c r="V255" s="222"/>
      <c r="W255" s="223"/>
      <c r="X255" s="222"/>
      <c r="Y255" s="223"/>
      <c r="Z255" s="222"/>
      <c r="AA255" s="223"/>
      <c r="AB255" s="217" t="e">
        <f t="shared" si="6"/>
        <v>#DIV/0!</v>
      </c>
      <c r="AC255" s="210" t="e">
        <f t="shared" si="7"/>
        <v>#DIV/0!</v>
      </c>
    </row>
    <row r="256" spans="2:29" ht="35.1" customHeight="1" thickTop="1" x14ac:dyDescent="0.2">
      <c r="B256" s="205"/>
      <c r="C256" s="205"/>
      <c r="D256" s="205"/>
      <c r="E256" s="205"/>
      <c r="F256" s="205"/>
      <c r="G256" s="206"/>
      <c r="H256" s="206"/>
      <c r="I256" s="207"/>
      <c r="J256" s="208"/>
      <c r="K256" s="207"/>
      <c r="L256" s="208"/>
      <c r="M256" s="209"/>
      <c r="N256" s="208"/>
      <c r="O256" s="209"/>
      <c r="P256" s="208"/>
      <c r="Q256" s="209"/>
      <c r="R256" s="208"/>
      <c r="S256" s="209"/>
      <c r="T256" s="208"/>
      <c r="U256" s="209"/>
      <c r="V256" s="208"/>
      <c r="W256" s="209"/>
      <c r="X256" s="208"/>
      <c r="Y256" s="209"/>
      <c r="Z256" s="208"/>
      <c r="AA256" s="209"/>
      <c r="AB256" s="217" t="e">
        <f t="shared" si="6"/>
        <v>#DIV/0!</v>
      </c>
      <c r="AC256" s="210" t="e">
        <f t="shared" si="7"/>
        <v>#DIV/0!</v>
      </c>
    </row>
    <row r="257" spans="2:29" ht="35.1" customHeight="1" x14ac:dyDescent="0.2">
      <c r="B257" s="211"/>
      <c r="C257" s="211"/>
      <c r="D257" s="211"/>
      <c r="E257" s="211"/>
      <c r="F257" s="212"/>
      <c r="G257" s="213"/>
      <c r="H257" s="213"/>
      <c r="I257" s="214"/>
      <c r="J257" s="215"/>
      <c r="K257" s="214"/>
      <c r="L257" s="215"/>
      <c r="M257" s="216"/>
      <c r="N257" s="215"/>
      <c r="O257" s="216"/>
      <c r="P257" s="215"/>
      <c r="Q257" s="216"/>
      <c r="R257" s="215"/>
      <c r="S257" s="216"/>
      <c r="T257" s="215"/>
      <c r="U257" s="216"/>
      <c r="V257" s="215"/>
      <c r="W257" s="216"/>
      <c r="X257" s="215"/>
      <c r="Y257" s="216"/>
      <c r="Z257" s="215"/>
      <c r="AA257" s="216"/>
      <c r="AB257" s="217" t="e">
        <f t="shared" si="6"/>
        <v>#DIV/0!</v>
      </c>
      <c r="AC257" s="210" t="e">
        <f t="shared" si="7"/>
        <v>#DIV/0!</v>
      </c>
    </row>
    <row r="258" spans="2:29" ht="35.1" customHeight="1" x14ac:dyDescent="0.2">
      <c r="B258" s="211"/>
      <c r="C258" s="211"/>
      <c r="D258" s="211"/>
      <c r="E258" s="211"/>
      <c r="F258" s="212"/>
      <c r="G258" s="213"/>
      <c r="H258" s="213"/>
      <c r="I258" s="214"/>
      <c r="J258" s="215"/>
      <c r="K258" s="214"/>
      <c r="L258" s="215"/>
      <c r="M258" s="216"/>
      <c r="N258" s="215"/>
      <c r="O258" s="216"/>
      <c r="P258" s="215"/>
      <c r="Q258" s="216"/>
      <c r="R258" s="215"/>
      <c r="S258" s="216"/>
      <c r="T258" s="215"/>
      <c r="U258" s="216"/>
      <c r="V258" s="215"/>
      <c r="W258" s="216"/>
      <c r="X258" s="215"/>
      <c r="Y258" s="216"/>
      <c r="Z258" s="215"/>
      <c r="AA258" s="216"/>
      <c r="AB258" s="217" t="e">
        <f t="shared" si="6"/>
        <v>#DIV/0!</v>
      </c>
      <c r="AC258" s="210" t="e">
        <f t="shared" si="7"/>
        <v>#DIV/0!</v>
      </c>
    </row>
    <row r="259" spans="2:29" ht="35.1" customHeight="1" x14ac:dyDescent="0.2">
      <c r="B259" s="211"/>
      <c r="C259" s="211"/>
      <c r="D259" s="211"/>
      <c r="E259" s="211"/>
      <c r="F259" s="212"/>
      <c r="G259" s="213"/>
      <c r="H259" s="213"/>
      <c r="I259" s="214"/>
      <c r="J259" s="215"/>
      <c r="K259" s="214"/>
      <c r="L259" s="215"/>
      <c r="M259" s="216"/>
      <c r="N259" s="215"/>
      <c r="O259" s="216"/>
      <c r="P259" s="215"/>
      <c r="Q259" s="216"/>
      <c r="R259" s="215"/>
      <c r="S259" s="216"/>
      <c r="T259" s="215"/>
      <c r="U259" s="216"/>
      <c r="V259" s="215"/>
      <c r="W259" s="216"/>
      <c r="X259" s="215"/>
      <c r="Y259" s="216"/>
      <c r="Z259" s="215"/>
      <c r="AA259" s="216"/>
      <c r="AB259" s="217" t="e">
        <f t="shared" si="6"/>
        <v>#DIV/0!</v>
      </c>
      <c r="AC259" s="210" t="e">
        <f t="shared" si="7"/>
        <v>#DIV/0!</v>
      </c>
    </row>
    <row r="260" spans="2:29" ht="35.1" customHeight="1" x14ac:dyDescent="0.2">
      <c r="B260" s="211"/>
      <c r="C260" s="211"/>
      <c r="D260" s="211"/>
      <c r="E260" s="211"/>
      <c r="F260" s="212"/>
      <c r="G260" s="213"/>
      <c r="H260" s="213"/>
      <c r="I260" s="214"/>
      <c r="J260" s="215"/>
      <c r="K260" s="214"/>
      <c r="L260" s="215"/>
      <c r="M260" s="216"/>
      <c r="N260" s="215"/>
      <c r="O260" s="216"/>
      <c r="P260" s="215"/>
      <c r="Q260" s="216"/>
      <c r="R260" s="215"/>
      <c r="S260" s="216"/>
      <c r="T260" s="215"/>
      <c r="U260" s="216"/>
      <c r="V260" s="215"/>
      <c r="W260" s="216"/>
      <c r="X260" s="215"/>
      <c r="Y260" s="216"/>
      <c r="Z260" s="215"/>
      <c r="AA260" s="216"/>
      <c r="AB260" s="217" t="e">
        <f t="shared" ref="AB260:AB299" si="8">N260/I260</f>
        <v>#DIV/0!</v>
      </c>
      <c r="AC260" s="210" t="e">
        <f t="shared" si="7"/>
        <v>#DIV/0!</v>
      </c>
    </row>
    <row r="261" spans="2:29" ht="47.25" customHeight="1" x14ac:dyDescent="0.2">
      <c r="B261" s="211"/>
      <c r="C261" s="211"/>
      <c r="D261" s="211"/>
      <c r="E261" s="211"/>
      <c r="F261" s="212"/>
      <c r="G261" s="213"/>
      <c r="H261" s="213"/>
      <c r="I261" s="214"/>
      <c r="J261" s="215"/>
      <c r="K261" s="214"/>
      <c r="L261" s="215"/>
      <c r="M261" s="216"/>
      <c r="N261" s="215"/>
      <c r="O261" s="216"/>
      <c r="P261" s="215"/>
      <c r="Q261" s="216"/>
      <c r="R261" s="215"/>
      <c r="S261" s="216"/>
      <c r="T261" s="215"/>
      <c r="U261" s="216"/>
      <c r="V261" s="215"/>
      <c r="W261" s="216"/>
      <c r="X261" s="215"/>
      <c r="Y261" s="216"/>
      <c r="Z261" s="215"/>
      <c r="AA261" s="216"/>
      <c r="AB261" s="217" t="e">
        <f t="shared" si="8"/>
        <v>#DIV/0!</v>
      </c>
      <c r="AC261" s="210" t="e">
        <f t="shared" ref="AC261:AC300" si="9">X261/N261</f>
        <v>#DIV/0!</v>
      </c>
    </row>
    <row r="262" spans="2:29" ht="35.1" customHeight="1" thickBot="1" x14ac:dyDescent="0.25">
      <c r="B262" s="218"/>
      <c r="C262" s="218"/>
      <c r="D262" s="218"/>
      <c r="E262" s="218"/>
      <c r="F262" s="219"/>
      <c r="G262" s="220"/>
      <c r="H262" s="220"/>
      <c r="I262" s="221"/>
      <c r="J262" s="222"/>
      <c r="K262" s="221"/>
      <c r="L262" s="222"/>
      <c r="M262" s="223"/>
      <c r="N262" s="222"/>
      <c r="O262" s="223"/>
      <c r="P262" s="222"/>
      <c r="Q262" s="223"/>
      <c r="R262" s="222"/>
      <c r="S262" s="223"/>
      <c r="T262" s="222"/>
      <c r="U262" s="223"/>
      <c r="V262" s="222"/>
      <c r="W262" s="223"/>
      <c r="X262" s="222"/>
      <c r="Y262" s="223"/>
      <c r="Z262" s="222"/>
      <c r="AA262" s="223"/>
      <c r="AB262" s="217" t="e">
        <f t="shared" si="8"/>
        <v>#DIV/0!</v>
      </c>
      <c r="AC262" s="210" t="e">
        <f t="shared" si="9"/>
        <v>#DIV/0!</v>
      </c>
    </row>
    <row r="263" spans="2:29" ht="35.1" customHeight="1" thickTop="1" x14ac:dyDescent="0.2">
      <c r="B263" s="205"/>
      <c r="C263" s="205"/>
      <c r="D263" s="205"/>
      <c r="E263" s="205"/>
      <c r="F263" s="205"/>
      <c r="G263" s="206"/>
      <c r="H263" s="206"/>
      <c r="I263" s="207"/>
      <c r="J263" s="208"/>
      <c r="K263" s="207"/>
      <c r="L263" s="208"/>
      <c r="M263" s="209"/>
      <c r="N263" s="208"/>
      <c r="O263" s="209"/>
      <c r="P263" s="208"/>
      <c r="Q263" s="209"/>
      <c r="R263" s="208"/>
      <c r="S263" s="209"/>
      <c r="T263" s="208"/>
      <c r="U263" s="209"/>
      <c r="V263" s="208"/>
      <c r="W263" s="209"/>
      <c r="X263" s="208"/>
      <c r="Y263" s="209"/>
      <c r="Z263" s="208"/>
      <c r="AA263" s="209"/>
      <c r="AB263" s="217" t="e">
        <f t="shared" si="8"/>
        <v>#DIV/0!</v>
      </c>
      <c r="AC263" s="210" t="e">
        <f t="shared" si="9"/>
        <v>#DIV/0!</v>
      </c>
    </row>
    <row r="264" spans="2:29" ht="35.1" customHeight="1" x14ac:dyDescent="0.2">
      <c r="B264" s="211"/>
      <c r="C264" s="211"/>
      <c r="D264" s="211"/>
      <c r="E264" s="211"/>
      <c r="F264" s="212"/>
      <c r="G264" s="213"/>
      <c r="H264" s="213"/>
      <c r="I264" s="214"/>
      <c r="J264" s="215"/>
      <c r="K264" s="214"/>
      <c r="L264" s="215"/>
      <c r="M264" s="216"/>
      <c r="N264" s="215"/>
      <c r="O264" s="216"/>
      <c r="P264" s="215"/>
      <c r="Q264" s="216"/>
      <c r="R264" s="215"/>
      <c r="S264" s="216"/>
      <c r="T264" s="215"/>
      <c r="U264" s="216"/>
      <c r="V264" s="215"/>
      <c r="W264" s="216"/>
      <c r="X264" s="215"/>
      <c r="Y264" s="216"/>
      <c r="Z264" s="215"/>
      <c r="AA264" s="216"/>
      <c r="AB264" s="217" t="e">
        <f t="shared" si="8"/>
        <v>#DIV/0!</v>
      </c>
      <c r="AC264" s="210" t="e">
        <f t="shared" si="9"/>
        <v>#DIV/0!</v>
      </c>
    </row>
    <row r="265" spans="2:29" ht="35.1" customHeight="1" x14ac:dyDescent="0.2">
      <c r="B265" s="211"/>
      <c r="C265" s="211"/>
      <c r="D265" s="211"/>
      <c r="E265" s="211"/>
      <c r="F265" s="212"/>
      <c r="G265" s="213"/>
      <c r="H265" s="213"/>
      <c r="I265" s="214"/>
      <c r="J265" s="215"/>
      <c r="K265" s="214"/>
      <c r="L265" s="215"/>
      <c r="M265" s="216"/>
      <c r="N265" s="215"/>
      <c r="O265" s="216"/>
      <c r="P265" s="215"/>
      <c r="Q265" s="216"/>
      <c r="R265" s="215"/>
      <c r="S265" s="216"/>
      <c r="T265" s="215"/>
      <c r="U265" s="216"/>
      <c r="V265" s="215"/>
      <c r="W265" s="216"/>
      <c r="X265" s="215"/>
      <c r="Y265" s="216"/>
      <c r="Z265" s="215"/>
      <c r="AA265" s="216"/>
      <c r="AB265" s="217" t="e">
        <f t="shared" si="8"/>
        <v>#DIV/0!</v>
      </c>
      <c r="AC265" s="210" t="e">
        <f t="shared" si="9"/>
        <v>#DIV/0!</v>
      </c>
    </row>
    <row r="266" spans="2:29" ht="35.1" customHeight="1" x14ac:dyDescent="0.2">
      <c r="B266" s="211"/>
      <c r="C266" s="211"/>
      <c r="D266" s="211"/>
      <c r="E266" s="211"/>
      <c r="F266" s="212"/>
      <c r="G266" s="213"/>
      <c r="H266" s="213"/>
      <c r="I266" s="214"/>
      <c r="J266" s="215"/>
      <c r="K266" s="214"/>
      <c r="L266" s="215"/>
      <c r="M266" s="216"/>
      <c r="N266" s="215"/>
      <c r="O266" s="216"/>
      <c r="P266" s="215"/>
      <c r="Q266" s="216"/>
      <c r="R266" s="215"/>
      <c r="S266" s="216"/>
      <c r="T266" s="215"/>
      <c r="U266" s="216"/>
      <c r="V266" s="215"/>
      <c r="W266" s="216"/>
      <c r="X266" s="215"/>
      <c r="Y266" s="216"/>
      <c r="Z266" s="215"/>
      <c r="AA266" s="216"/>
      <c r="AB266" s="217" t="e">
        <f t="shared" si="8"/>
        <v>#DIV/0!</v>
      </c>
      <c r="AC266" s="210" t="e">
        <f t="shared" si="9"/>
        <v>#DIV/0!</v>
      </c>
    </row>
    <row r="267" spans="2:29" ht="35.1" customHeight="1" x14ac:dyDescent="0.2">
      <c r="B267" s="211"/>
      <c r="C267" s="211"/>
      <c r="D267" s="211"/>
      <c r="E267" s="211"/>
      <c r="F267" s="212"/>
      <c r="G267" s="213"/>
      <c r="H267" s="213"/>
      <c r="I267" s="214"/>
      <c r="J267" s="215"/>
      <c r="K267" s="214"/>
      <c r="L267" s="215"/>
      <c r="M267" s="216"/>
      <c r="N267" s="215"/>
      <c r="O267" s="216"/>
      <c r="P267" s="215"/>
      <c r="Q267" s="216"/>
      <c r="R267" s="215"/>
      <c r="S267" s="216"/>
      <c r="T267" s="215"/>
      <c r="U267" s="216"/>
      <c r="V267" s="215"/>
      <c r="W267" s="216"/>
      <c r="X267" s="215"/>
      <c r="Y267" s="216"/>
      <c r="Z267" s="215"/>
      <c r="AA267" s="216"/>
      <c r="AB267" s="217" t="e">
        <f t="shared" si="8"/>
        <v>#DIV/0!</v>
      </c>
      <c r="AC267" s="210" t="e">
        <f t="shared" si="9"/>
        <v>#DIV/0!</v>
      </c>
    </row>
    <row r="268" spans="2:29" ht="47.25" customHeight="1" x14ac:dyDescent="0.2">
      <c r="B268" s="211"/>
      <c r="C268" s="211"/>
      <c r="D268" s="211"/>
      <c r="E268" s="211"/>
      <c r="F268" s="212"/>
      <c r="G268" s="213"/>
      <c r="H268" s="213"/>
      <c r="I268" s="214"/>
      <c r="J268" s="215"/>
      <c r="K268" s="214"/>
      <c r="L268" s="215"/>
      <c r="M268" s="216"/>
      <c r="N268" s="215"/>
      <c r="O268" s="216"/>
      <c r="P268" s="215"/>
      <c r="Q268" s="216"/>
      <c r="R268" s="215"/>
      <c r="S268" s="216"/>
      <c r="T268" s="215"/>
      <c r="U268" s="216"/>
      <c r="V268" s="215"/>
      <c r="W268" s="216"/>
      <c r="X268" s="215"/>
      <c r="Y268" s="216"/>
      <c r="Z268" s="215"/>
      <c r="AA268" s="216"/>
      <c r="AB268" s="217" t="e">
        <f t="shared" si="8"/>
        <v>#DIV/0!</v>
      </c>
      <c r="AC268" s="210" t="e">
        <f t="shared" si="9"/>
        <v>#DIV/0!</v>
      </c>
    </row>
    <row r="269" spans="2:29" ht="35.1" customHeight="1" thickBot="1" x14ac:dyDescent="0.25">
      <c r="B269" s="218"/>
      <c r="C269" s="218"/>
      <c r="D269" s="218"/>
      <c r="E269" s="218"/>
      <c r="F269" s="219"/>
      <c r="G269" s="220"/>
      <c r="H269" s="220"/>
      <c r="I269" s="221"/>
      <c r="J269" s="222"/>
      <c r="K269" s="221"/>
      <c r="L269" s="222"/>
      <c r="M269" s="223"/>
      <c r="N269" s="222"/>
      <c r="O269" s="223"/>
      <c r="P269" s="222"/>
      <c r="Q269" s="223"/>
      <c r="R269" s="222"/>
      <c r="S269" s="223"/>
      <c r="T269" s="222"/>
      <c r="U269" s="223"/>
      <c r="V269" s="222"/>
      <c r="W269" s="223"/>
      <c r="X269" s="222"/>
      <c r="Y269" s="223"/>
      <c r="Z269" s="222"/>
      <c r="AA269" s="223"/>
      <c r="AB269" s="217" t="e">
        <f t="shared" si="8"/>
        <v>#DIV/0!</v>
      </c>
      <c r="AC269" s="210" t="e">
        <f t="shared" si="9"/>
        <v>#DIV/0!</v>
      </c>
    </row>
    <row r="270" spans="2:29" ht="35.1" customHeight="1" thickTop="1" x14ac:dyDescent="0.2">
      <c r="B270" s="205"/>
      <c r="C270" s="205"/>
      <c r="D270" s="205"/>
      <c r="E270" s="205"/>
      <c r="F270" s="205"/>
      <c r="G270" s="206"/>
      <c r="H270" s="206"/>
      <c r="I270" s="207"/>
      <c r="J270" s="208"/>
      <c r="K270" s="207"/>
      <c r="L270" s="208"/>
      <c r="M270" s="209"/>
      <c r="N270" s="208"/>
      <c r="O270" s="209"/>
      <c r="P270" s="208"/>
      <c r="Q270" s="209"/>
      <c r="R270" s="208"/>
      <c r="S270" s="209"/>
      <c r="T270" s="208"/>
      <c r="U270" s="209"/>
      <c r="V270" s="208"/>
      <c r="W270" s="209"/>
      <c r="X270" s="208"/>
      <c r="Y270" s="209"/>
      <c r="Z270" s="208"/>
      <c r="AA270" s="209"/>
      <c r="AB270" s="217" t="e">
        <f t="shared" si="8"/>
        <v>#DIV/0!</v>
      </c>
      <c r="AC270" s="210" t="e">
        <f t="shared" si="9"/>
        <v>#DIV/0!</v>
      </c>
    </row>
    <row r="271" spans="2:29" ht="35.1" customHeight="1" x14ac:dyDescent="0.2">
      <c r="B271" s="211"/>
      <c r="C271" s="211"/>
      <c r="D271" s="211"/>
      <c r="E271" s="211"/>
      <c r="F271" s="212"/>
      <c r="G271" s="213"/>
      <c r="H271" s="213"/>
      <c r="I271" s="214"/>
      <c r="J271" s="215"/>
      <c r="K271" s="214"/>
      <c r="L271" s="215"/>
      <c r="M271" s="216"/>
      <c r="N271" s="215"/>
      <c r="O271" s="216"/>
      <c r="P271" s="215"/>
      <c r="Q271" s="216"/>
      <c r="R271" s="215"/>
      <c r="S271" s="216"/>
      <c r="T271" s="215"/>
      <c r="U271" s="216"/>
      <c r="V271" s="215"/>
      <c r="W271" s="216"/>
      <c r="X271" s="215"/>
      <c r="Y271" s="216"/>
      <c r="Z271" s="215"/>
      <c r="AA271" s="216"/>
      <c r="AB271" s="217" t="e">
        <f t="shared" si="8"/>
        <v>#DIV/0!</v>
      </c>
      <c r="AC271" s="210" t="e">
        <f t="shared" si="9"/>
        <v>#DIV/0!</v>
      </c>
    </row>
    <row r="272" spans="2:29" ht="35.1" customHeight="1" x14ac:dyDescent="0.2">
      <c r="B272" s="211"/>
      <c r="C272" s="211"/>
      <c r="D272" s="211"/>
      <c r="E272" s="211"/>
      <c r="F272" s="212"/>
      <c r="G272" s="213"/>
      <c r="H272" s="213"/>
      <c r="I272" s="214"/>
      <c r="J272" s="215"/>
      <c r="K272" s="214"/>
      <c r="L272" s="215"/>
      <c r="M272" s="216"/>
      <c r="N272" s="215"/>
      <c r="O272" s="216"/>
      <c r="P272" s="215"/>
      <c r="Q272" s="216"/>
      <c r="R272" s="215"/>
      <c r="S272" s="216"/>
      <c r="T272" s="215"/>
      <c r="U272" s="216"/>
      <c r="V272" s="215"/>
      <c r="W272" s="216"/>
      <c r="X272" s="215"/>
      <c r="Y272" s="216"/>
      <c r="Z272" s="215"/>
      <c r="AA272" s="216"/>
      <c r="AB272" s="217" t="e">
        <f t="shared" si="8"/>
        <v>#DIV/0!</v>
      </c>
      <c r="AC272" s="210" t="e">
        <f t="shared" si="9"/>
        <v>#DIV/0!</v>
      </c>
    </row>
    <row r="273" spans="2:29" ht="35.1" customHeight="1" x14ac:dyDescent="0.2">
      <c r="B273" s="211"/>
      <c r="C273" s="211"/>
      <c r="D273" s="211"/>
      <c r="E273" s="211"/>
      <c r="F273" s="212"/>
      <c r="G273" s="213"/>
      <c r="H273" s="213"/>
      <c r="I273" s="214"/>
      <c r="J273" s="215"/>
      <c r="K273" s="214"/>
      <c r="L273" s="215"/>
      <c r="M273" s="216"/>
      <c r="N273" s="215"/>
      <c r="O273" s="216"/>
      <c r="P273" s="215"/>
      <c r="Q273" s="216"/>
      <c r="R273" s="215"/>
      <c r="S273" s="216"/>
      <c r="T273" s="215"/>
      <c r="U273" s="216"/>
      <c r="V273" s="215"/>
      <c r="W273" s="216"/>
      <c r="X273" s="215"/>
      <c r="Y273" s="216"/>
      <c r="Z273" s="215"/>
      <c r="AA273" s="216"/>
      <c r="AB273" s="217" t="e">
        <f t="shared" si="8"/>
        <v>#DIV/0!</v>
      </c>
      <c r="AC273" s="210" t="e">
        <f t="shared" si="9"/>
        <v>#DIV/0!</v>
      </c>
    </row>
    <row r="274" spans="2:29" ht="35.1" customHeight="1" x14ac:dyDescent="0.2">
      <c r="B274" s="211"/>
      <c r="C274" s="211"/>
      <c r="D274" s="211"/>
      <c r="E274" s="211"/>
      <c r="F274" s="212"/>
      <c r="G274" s="213"/>
      <c r="H274" s="213"/>
      <c r="I274" s="214"/>
      <c r="J274" s="215"/>
      <c r="K274" s="214"/>
      <c r="L274" s="215"/>
      <c r="M274" s="216"/>
      <c r="N274" s="215"/>
      <c r="O274" s="216"/>
      <c r="P274" s="215"/>
      <c r="Q274" s="216"/>
      <c r="R274" s="215"/>
      <c r="S274" s="216"/>
      <c r="T274" s="215"/>
      <c r="U274" s="216"/>
      <c r="V274" s="215"/>
      <c r="W274" s="216"/>
      <c r="X274" s="215"/>
      <c r="Y274" s="216"/>
      <c r="Z274" s="215"/>
      <c r="AA274" s="216"/>
      <c r="AB274" s="217" t="e">
        <f t="shared" si="8"/>
        <v>#DIV/0!</v>
      </c>
      <c r="AC274" s="210" t="e">
        <f t="shared" si="9"/>
        <v>#DIV/0!</v>
      </c>
    </row>
    <row r="275" spans="2:29" ht="47.25" customHeight="1" x14ac:dyDescent="0.2">
      <c r="B275" s="211"/>
      <c r="C275" s="211"/>
      <c r="D275" s="211"/>
      <c r="E275" s="211"/>
      <c r="F275" s="212"/>
      <c r="G275" s="213"/>
      <c r="H275" s="213"/>
      <c r="I275" s="214"/>
      <c r="J275" s="215"/>
      <c r="K275" s="214"/>
      <c r="L275" s="215"/>
      <c r="M275" s="216"/>
      <c r="N275" s="215"/>
      <c r="O275" s="216"/>
      <c r="P275" s="215"/>
      <c r="Q275" s="216"/>
      <c r="R275" s="215"/>
      <c r="S275" s="216"/>
      <c r="T275" s="215"/>
      <c r="U275" s="216"/>
      <c r="V275" s="215"/>
      <c r="W275" s="216"/>
      <c r="X275" s="215"/>
      <c r="Y275" s="216"/>
      <c r="Z275" s="215"/>
      <c r="AA275" s="216"/>
      <c r="AB275" s="217" t="e">
        <f t="shared" si="8"/>
        <v>#DIV/0!</v>
      </c>
      <c r="AC275" s="210" t="e">
        <f t="shared" si="9"/>
        <v>#DIV/0!</v>
      </c>
    </row>
    <row r="276" spans="2:29" ht="35.1" customHeight="1" thickBot="1" x14ac:dyDescent="0.25">
      <c r="B276" s="218"/>
      <c r="C276" s="218"/>
      <c r="D276" s="218"/>
      <c r="E276" s="218"/>
      <c r="F276" s="219"/>
      <c r="G276" s="220"/>
      <c r="H276" s="220"/>
      <c r="I276" s="221"/>
      <c r="J276" s="222"/>
      <c r="K276" s="221"/>
      <c r="L276" s="222"/>
      <c r="M276" s="223"/>
      <c r="N276" s="222"/>
      <c r="O276" s="223"/>
      <c r="P276" s="222"/>
      <c r="Q276" s="223"/>
      <c r="R276" s="222"/>
      <c r="S276" s="223"/>
      <c r="T276" s="222"/>
      <c r="U276" s="223"/>
      <c r="V276" s="222"/>
      <c r="W276" s="223"/>
      <c r="X276" s="222"/>
      <c r="Y276" s="223"/>
      <c r="Z276" s="222"/>
      <c r="AA276" s="223"/>
      <c r="AB276" s="217" t="e">
        <f t="shared" si="8"/>
        <v>#DIV/0!</v>
      </c>
      <c r="AC276" s="210" t="e">
        <f t="shared" si="9"/>
        <v>#DIV/0!</v>
      </c>
    </row>
    <row r="277" spans="2:29" ht="35.1" customHeight="1" thickTop="1" x14ac:dyDescent="0.2">
      <c r="B277" s="205"/>
      <c r="C277" s="205"/>
      <c r="D277" s="205"/>
      <c r="E277" s="205"/>
      <c r="F277" s="205"/>
      <c r="G277" s="206"/>
      <c r="H277" s="206"/>
      <c r="I277" s="207"/>
      <c r="J277" s="208"/>
      <c r="K277" s="207"/>
      <c r="L277" s="208"/>
      <c r="M277" s="209"/>
      <c r="N277" s="208"/>
      <c r="O277" s="209"/>
      <c r="P277" s="208"/>
      <c r="Q277" s="209"/>
      <c r="R277" s="208"/>
      <c r="S277" s="209"/>
      <c r="T277" s="208"/>
      <c r="U277" s="209"/>
      <c r="V277" s="208"/>
      <c r="W277" s="209"/>
      <c r="X277" s="208"/>
      <c r="Y277" s="209"/>
      <c r="Z277" s="208"/>
      <c r="AA277" s="209"/>
      <c r="AB277" s="217" t="e">
        <f t="shared" si="8"/>
        <v>#DIV/0!</v>
      </c>
      <c r="AC277" s="210" t="e">
        <f t="shared" si="9"/>
        <v>#DIV/0!</v>
      </c>
    </row>
    <row r="278" spans="2:29" ht="35.1" customHeight="1" x14ac:dyDescent="0.2">
      <c r="B278" s="211"/>
      <c r="C278" s="211"/>
      <c r="D278" s="211"/>
      <c r="E278" s="211"/>
      <c r="F278" s="212"/>
      <c r="G278" s="213"/>
      <c r="H278" s="213"/>
      <c r="I278" s="214"/>
      <c r="J278" s="215"/>
      <c r="K278" s="214"/>
      <c r="L278" s="215"/>
      <c r="M278" s="216"/>
      <c r="N278" s="215"/>
      <c r="O278" s="216"/>
      <c r="P278" s="215"/>
      <c r="Q278" s="216"/>
      <c r="R278" s="215"/>
      <c r="S278" s="216"/>
      <c r="T278" s="215"/>
      <c r="U278" s="216"/>
      <c r="V278" s="215"/>
      <c r="W278" s="216"/>
      <c r="X278" s="215"/>
      <c r="Y278" s="216"/>
      <c r="Z278" s="215"/>
      <c r="AA278" s="216"/>
      <c r="AB278" s="217" t="e">
        <f t="shared" si="8"/>
        <v>#DIV/0!</v>
      </c>
      <c r="AC278" s="210" t="e">
        <f t="shared" si="9"/>
        <v>#DIV/0!</v>
      </c>
    </row>
    <row r="279" spans="2:29" ht="35.1" customHeight="1" x14ac:dyDescent="0.2">
      <c r="B279" s="211"/>
      <c r="C279" s="211"/>
      <c r="D279" s="211"/>
      <c r="E279" s="211"/>
      <c r="F279" s="212"/>
      <c r="G279" s="213"/>
      <c r="H279" s="213"/>
      <c r="I279" s="214"/>
      <c r="J279" s="215"/>
      <c r="K279" s="214"/>
      <c r="L279" s="215"/>
      <c r="M279" s="216"/>
      <c r="N279" s="215"/>
      <c r="O279" s="216"/>
      <c r="P279" s="215"/>
      <c r="Q279" s="216"/>
      <c r="R279" s="215"/>
      <c r="S279" s="216"/>
      <c r="T279" s="215"/>
      <c r="U279" s="216"/>
      <c r="V279" s="215"/>
      <c r="W279" s="216"/>
      <c r="X279" s="215"/>
      <c r="Y279" s="216"/>
      <c r="Z279" s="215"/>
      <c r="AA279" s="216"/>
      <c r="AB279" s="217" t="e">
        <f t="shared" si="8"/>
        <v>#DIV/0!</v>
      </c>
      <c r="AC279" s="210" t="e">
        <f t="shared" si="9"/>
        <v>#DIV/0!</v>
      </c>
    </row>
    <row r="280" spans="2:29" ht="35.1" customHeight="1" x14ac:dyDescent="0.2">
      <c r="B280" s="211"/>
      <c r="C280" s="211"/>
      <c r="D280" s="211"/>
      <c r="E280" s="211"/>
      <c r="F280" s="212"/>
      <c r="G280" s="213"/>
      <c r="H280" s="213"/>
      <c r="I280" s="214"/>
      <c r="J280" s="215"/>
      <c r="K280" s="214"/>
      <c r="L280" s="215"/>
      <c r="M280" s="216"/>
      <c r="N280" s="215"/>
      <c r="O280" s="216"/>
      <c r="P280" s="215"/>
      <c r="Q280" s="216"/>
      <c r="R280" s="215"/>
      <c r="S280" s="216"/>
      <c r="T280" s="215"/>
      <c r="U280" s="216"/>
      <c r="V280" s="215"/>
      <c r="W280" s="216"/>
      <c r="X280" s="215"/>
      <c r="Y280" s="216"/>
      <c r="Z280" s="215"/>
      <c r="AA280" s="216"/>
      <c r="AB280" s="217" t="e">
        <f t="shared" si="8"/>
        <v>#DIV/0!</v>
      </c>
      <c r="AC280" s="210" t="e">
        <f t="shared" si="9"/>
        <v>#DIV/0!</v>
      </c>
    </row>
    <row r="281" spans="2:29" ht="35.1" customHeight="1" x14ac:dyDescent="0.2">
      <c r="B281" s="211"/>
      <c r="C281" s="211"/>
      <c r="D281" s="211"/>
      <c r="E281" s="211"/>
      <c r="F281" s="212"/>
      <c r="G281" s="213"/>
      <c r="H281" s="213"/>
      <c r="I281" s="214"/>
      <c r="J281" s="215"/>
      <c r="K281" s="214"/>
      <c r="L281" s="215"/>
      <c r="M281" s="216"/>
      <c r="N281" s="215"/>
      <c r="O281" s="216"/>
      <c r="P281" s="215"/>
      <c r="Q281" s="216"/>
      <c r="R281" s="215"/>
      <c r="S281" s="216"/>
      <c r="T281" s="215"/>
      <c r="U281" s="216"/>
      <c r="V281" s="215"/>
      <c r="W281" s="216"/>
      <c r="X281" s="215"/>
      <c r="Y281" s="216"/>
      <c r="Z281" s="215"/>
      <c r="AA281" s="216"/>
      <c r="AB281" s="217" t="e">
        <f t="shared" si="8"/>
        <v>#DIV/0!</v>
      </c>
      <c r="AC281" s="210" t="e">
        <f t="shared" si="9"/>
        <v>#DIV/0!</v>
      </c>
    </row>
    <row r="282" spans="2:29" ht="47.25" customHeight="1" x14ac:dyDescent="0.2">
      <c r="B282" s="211"/>
      <c r="C282" s="211"/>
      <c r="D282" s="211"/>
      <c r="E282" s="211"/>
      <c r="F282" s="212"/>
      <c r="G282" s="213"/>
      <c r="H282" s="213"/>
      <c r="I282" s="214"/>
      <c r="J282" s="215"/>
      <c r="K282" s="214"/>
      <c r="L282" s="215"/>
      <c r="M282" s="216"/>
      <c r="N282" s="215"/>
      <c r="O282" s="216"/>
      <c r="P282" s="215"/>
      <c r="Q282" s="216"/>
      <c r="R282" s="215"/>
      <c r="S282" s="216"/>
      <c r="T282" s="215"/>
      <c r="U282" s="216"/>
      <c r="V282" s="215"/>
      <c r="W282" s="216"/>
      <c r="X282" s="215"/>
      <c r="Y282" s="216"/>
      <c r="Z282" s="215"/>
      <c r="AA282" s="216"/>
      <c r="AB282" s="217" t="e">
        <f t="shared" si="8"/>
        <v>#DIV/0!</v>
      </c>
      <c r="AC282" s="210" t="e">
        <f t="shared" si="9"/>
        <v>#DIV/0!</v>
      </c>
    </row>
    <row r="283" spans="2:29" ht="35.1" customHeight="1" thickBot="1" x14ac:dyDescent="0.25">
      <c r="B283" s="218"/>
      <c r="C283" s="218"/>
      <c r="D283" s="218"/>
      <c r="E283" s="218"/>
      <c r="F283" s="219"/>
      <c r="G283" s="220"/>
      <c r="H283" s="220"/>
      <c r="I283" s="221"/>
      <c r="J283" s="222"/>
      <c r="K283" s="221"/>
      <c r="L283" s="222"/>
      <c r="M283" s="223"/>
      <c r="N283" s="222"/>
      <c r="O283" s="223"/>
      <c r="P283" s="222"/>
      <c r="Q283" s="223"/>
      <c r="R283" s="222"/>
      <c r="S283" s="223"/>
      <c r="T283" s="222"/>
      <c r="U283" s="223"/>
      <c r="V283" s="222"/>
      <c r="W283" s="223"/>
      <c r="X283" s="222"/>
      <c r="Y283" s="223"/>
      <c r="Z283" s="222"/>
      <c r="AA283" s="223"/>
      <c r="AB283" s="217" t="e">
        <f t="shared" si="8"/>
        <v>#DIV/0!</v>
      </c>
      <c r="AC283" s="210" t="e">
        <f t="shared" si="9"/>
        <v>#DIV/0!</v>
      </c>
    </row>
    <row r="284" spans="2:29" ht="35.1" customHeight="1" thickTop="1" x14ac:dyDescent="0.2">
      <c r="B284" s="205"/>
      <c r="C284" s="205"/>
      <c r="D284" s="205"/>
      <c r="E284" s="205"/>
      <c r="F284" s="205"/>
      <c r="G284" s="206"/>
      <c r="H284" s="206"/>
      <c r="I284" s="207"/>
      <c r="J284" s="208"/>
      <c r="K284" s="207"/>
      <c r="L284" s="208"/>
      <c r="M284" s="209"/>
      <c r="N284" s="208"/>
      <c r="O284" s="209"/>
      <c r="P284" s="208"/>
      <c r="Q284" s="209"/>
      <c r="R284" s="208"/>
      <c r="S284" s="209"/>
      <c r="T284" s="208"/>
      <c r="U284" s="209"/>
      <c r="V284" s="208"/>
      <c r="W284" s="209"/>
      <c r="X284" s="208"/>
      <c r="Y284" s="209"/>
      <c r="Z284" s="208"/>
      <c r="AA284" s="209"/>
      <c r="AB284" s="217" t="e">
        <f t="shared" si="8"/>
        <v>#DIV/0!</v>
      </c>
      <c r="AC284" s="210" t="e">
        <f t="shared" si="9"/>
        <v>#DIV/0!</v>
      </c>
    </row>
    <row r="285" spans="2:29" ht="35.1" customHeight="1" x14ac:dyDescent="0.2">
      <c r="B285" s="211"/>
      <c r="C285" s="211"/>
      <c r="D285" s="211"/>
      <c r="E285" s="211"/>
      <c r="F285" s="212"/>
      <c r="G285" s="213"/>
      <c r="H285" s="213"/>
      <c r="I285" s="214"/>
      <c r="J285" s="215"/>
      <c r="K285" s="214"/>
      <c r="L285" s="215"/>
      <c r="M285" s="216"/>
      <c r="N285" s="215"/>
      <c r="O285" s="216"/>
      <c r="P285" s="215"/>
      <c r="Q285" s="216"/>
      <c r="R285" s="215"/>
      <c r="S285" s="216"/>
      <c r="T285" s="215"/>
      <c r="U285" s="216"/>
      <c r="V285" s="215"/>
      <c r="W285" s="216"/>
      <c r="X285" s="215"/>
      <c r="Y285" s="216"/>
      <c r="Z285" s="215"/>
      <c r="AA285" s="216"/>
      <c r="AB285" s="217" t="e">
        <f t="shared" si="8"/>
        <v>#DIV/0!</v>
      </c>
      <c r="AC285" s="210" t="e">
        <f t="shared" si="9"/>
        <v>#DIV/0!</v>
      </c>
    </row>
    <row r="286" spans="2:29" ht="35.1" customHeight="1" x14ac:dyDescent="0.2">
      <c r="B286" s="211"/>
      <c r="C286" s="211"/>
      <c r="D286" s="211"/>
      <c r="E286" s="211"/>
      <c r="F286" s="212"/>
      <c r="G286" s="213"/>
      <c r="H286" s="213"/>
      <c r="I286" s="214"/>
      <c r="J286" s="215"/>
      <c r="K286" s="214"/>
      <c r="L286" s="215"/>
      <c r="M286" s="216"/>
      <c r="N286" s="215"/>
      <c r="O286" s="216"/>
      <c r="P286" s="215"/>
      <c r="Q286" s="216"/>
      <c r="R286" s="215"/>
      <c r="S286" s="216"/>
      <c r="T286" s="215"/>
      <c r="U286" s="216"/>
      <c r="V286" s="215"/>
      <c r="W286" s="216"/>
      <c r="X286" s="215"/>
      <c r="Y286" s="216"/>
      <c r="Z286" s="215"/>
      <c r="AA286" s="216"/>
      <c r="AB286" s="217" t="e">
        <f t="shared" si="8"/>
        <v>#DIV/0!</v>
      </c>
      <c r="AC286" s="210" t="e">
        <f t="shared" si="9"/>
        <v>#DIV/0!</v>
      </c>
    </row>
    <row r="287" spans="2:29" ht="35.1" customHeight="1" x14ac:dyDescent="0.2">
      <c r="B287" s="211"/>
      <c r="C287" s="211"/>
      <c r="D287" s="211"/>
      <c r="E287" s="211"/>
      <c r="F287" s="212"/>
      <c r="G287" s="213"/>
      <c r="H287" s="213"/>
      <c r="I287" s="214"/>
      <c r="J287" s="215"/>
      <c r="K287" s="214"/>
      <c r="L287" s="215"/>
      <c r="M287" s="216"/>
      <c r="N287" s="215"/>
      <c r="O287" s="216"/>
      <c r="P287" s="215"/>
      <c r="Q287" s="216"/>
      <c r="R287" s="215"/>
      <c r="S287" s="216"/>
      <c r="T287" s="215"/>
      <c r="U287" s="216"/>
      <c r="V287" s="215"/>
      <c r="W287" s="216"/>
      <c r="X287" s="215"/>
      <c r="Y287" s="216"/>
      <c r="Z287" s="215"/>
      <c r="AA287" s="216"/>
      <c r="AB287" s="217" t="e">
        <f t="shared" si="8"/>
        <v>#DIV/0!</v>
      </c>
      <c r="AC287" s="210" t="e">
        <f t="shared" si="9"/>
        <v>#DIV/0!</v>
      </c>
    </row>
    <row r="288" spans="2:29" ht="35.1" customHeight="1" x14ac:dyDescent="0.2">
      <c r="B288" s="211"/>
      <c r="C288" s="211"/>
      <c r="D288" s="211"/>
      <c r="E288" s="211"/>
      <c r="F288" s="212"/>
      <c r="G288" s="213"/>
      <c r="H288" s="213"/>
      <c r="I288" s="214"/>
      <c r="J288" s="215"/>
      <c r="K288" s="214"/>
      <c r="L288" s="215"/>
      <c r="M288" s="216"/>
      <c r="N288" s="215"/>
      <c r="O288" s="216"/>
      <c r="P288" s="215"/>
      <c r="Q288" s="216"/>
      <c r="R288" s="215"/>
      <c r="S288" s="216"/>
      <c r="T288" s="215"/>
      <c r="U288" s="216"/>
      <c r="V288" s="215"/>
      <c r="W288" s="216"/>
      <c r="X288" s="215"/>
      <c r="Y288" s="216"/>
      <c r="Z288" s="215"/>
      <c r="AA288" s="216"/>
      <c r="AB288" s="217" t="e">
        <f t="shared" si="8"/>
        <v>#DIV/0!</v>
      </c>
      <c r="AC288" s="210" t="e">
        <f t="shared" si="9"/>
        <v>#DIV/0!</v>
      </c>
    </row>
    <row r="289" spans="2:29" ht="47.25" customHeight="1" x14ac:dyDescent="0.2">
      <c r="B289" s="211"/>
      <c r="C289" s="211"/>
      <c r="D289" s="211"/>
      <c r="E289" s="211"/>
      <c r="F289" s="212"/>
      <c r="G289" s="213"/>
      <c r="H289" s="213"/>
      <c r="I289" s="214"/>
      <c r="J289" s="215"/>
      <c r="K289" s="214"/>
      <c r="L289" s="215"/>
      <c r="M289" s="216"/>
      <c r="N289" s="215"/>
      <c r="O289" s="216"/>
      <c r="P289" s="215"/>
      <c r="Q289" s="216"/>
      <c r="R289" s="215"/>
      <c r="S289" s="216"/>
      <c r="T289" s="215"/>
      <c r="U289" s="216"/>
      <c r="V289" s="215"/>
      <c r="W289" s="216"/>
      <c r="X289" s="215"/>
      <c r="Y289" s="216"/>
      <c r="Z289" s="215"/>
      <c r="AA289" s="216"/>
      <c r="AB289" s="217" t="e">
        <f t="shared" si="8"/>
        <v>#DIV/0!</v>
      </c>
      <c r="AC289" s="210" t="e">
        <f t="shared" si="9"/>
        <v>#DIV/0!</v>
      </c>
    </row>
    <row r="290" spans="2:29" ht="35.1" customHeight="1" thickBot="1" x14ac:dyDescent="0.25">
      <c r="B290" s="218"/>
      <c r="C290" s="218"/>
      <c r="D290" s="218"/>
      <c r="E290" s="218"/>
      <c r="F290" s="219"/>
      <c r="G290" s="220"/>
      <c r="H290" s="220"/>
      <c r="I290" s="221"/>
      <c r="J290" s="222"/>
      <c r="K290" s="221"/>
      <c r="L290" s="222"/>
      <c r="M290" s="223"/>
      <c r="N290" s="222"/>
      <c r="O290" s="223"/>
      <c r="P290" s="222"/>
      <c r="Q290" s="223"/>
      <c r="R290" s="222"/>
      <c r="S290" s="223"/>
      <c r="T290" s="222"/>
      <c r="U290" s="223"/>
      <c r="V290" s="222"/>
      <c r="W290" s="223"/>
      <c r="X290" s="222"/>
      <c r="Y290" s="223"/>
      <c r="Z290" s="222"/>
      <c r="AA290" s="223"/>
      <c r="AB290" s="217" t="e">
        <f t="shared" si="8"/>
        <v>#DIV/0!</v>
      </c>
      <c r="AC290" s="210" t="e">
        <f t="shared" si="9"/>
        <v>#DIV/0!</v>
      </c>
    </row>
    <row r="291" spans="2:29" ht="35.1" customHeight="1" thickTop="1" x14ac:dyDescent="0.2">
      <c r="B291" s="205"/>
      <c r="C291" s="205"/>
      <c r="D291" s="205"/>
      <c r="E291" s="205"/>
      <c r="F291" s="205"/>
      <c r="G291" s="206"/>
      <c r="H291" s="206"/>
      <c r="I291" s="207"/>
      <c r="J291" s="208"/>
      <c r="K291" s="207"/>
      <c r="L291" s="208"/>
      <c r="M291" s="209"/>
      <c r="N291" s="208"/>
      <c r="O291" s="209"/>
      <c r="P291" s="208"/>
      <c r="Q291" s="209"/>
      <c r="R291" s="208"/>
      <c r="S291" s="209"/>
      <c r="T291" s="208"/>
      <c r="U291" s="209"/>
      <c r="V291" s="208"/>
      <c r="W291" s="209"/>
      <c r="X291" s="208"/>
      <c r="Y291" s="209"/>
      <c r="Z291" s="208"/>
      <c r="AA291" s="209"/>
      <c r="AB291" s="217" t="e">
        <f t="shared" si="8"/>
        <v>#DIV/0!</v>
      </c>
      <c r="AC291" s="210" t="e">
        <f t="shared" si="9"/>
        <v>#DIV/0!</v>
      </c>
    </row>
    <row r="292" spans="2:29" ht="35.1" customHeight="1" x14ac:dyDescent="0.2">
      <c r="B292" s="211"/>
      <c r="C292" s="211"/>
      <c r="D292" s="211"/>
      <c r="E292" s="211"/>
      <c r="F292" s="212"/>
      <c r="G292" s="213"/>
      <c r="H292" s="213"/>
      <c r="I292" s="214"/>
      <c r="J292" s="215"/>
      <c r="K292" s="214"/>
      <c r="L292" s="215"/>
      <c r="M292" s="216"/>
      <c r="N292" s="215"/>
      <c r="O292" s="216"/>
      <c r="P292" s="215"/>
      <c r="Q292" s="216"/>
      <c r="R292" s="215"/>
      <c r="S292" s="216"/>
      <c r="T292" s="215"/>
      <c r="U292" s="216"/>
      <c r="V292" s="215"/>
      <c r="W292" s="216"/>
      <c r="X292" s="215"/>
      <c r="Y292" s="216"/>
      <c r="Z292" s="215"/>
      <c r="AA292" s="216"/>
      <c r="AB292" s="217" t="e">
        <f t="shared" si="8"/>
        <v>#DIV/0!</v>
      </c>
      <c r="AC292" s="210" t="e">
        <f t="shared" si="9"/>
        <v>#DIV/0!</v>
      </c>
    </row>
    <row r="293" spans="2:29" ht="35.1" customHeight="1" x14ac:dyDescent="0.2">
      <c r="B293" s="211"/>
      <c r="C293" s="211"/>
      <c r="D293" s="211"/>
      <c r="E293" s="211"/>
      <c r="F293" s="212"/>
      <c r="G293" s="213"/>
      <c r="H293" s="213"/>
      <c r="I293" s="214"/>
      <c r="J293" s="215"/>
      <c r="K293" s="214"/>
      <c r="L293" s="215"/>
      <c r="M293" s="216"/>
      <c r="N293" s="215"/>
      <c r="O293" s="216"/>
      <c r="P293" s="215"/>
      <c r="Q293" s="216"/>
      <c r="R293" s="215"/>
      <c r="S293" s="216"/>
      <c r="T293" s="215"/>
      <c r="U293" s="216"/>
      <c r="V293" s="215"/>
      <c r="W293" s="216"/>
      <c r="X293" s="215"/>
      <c r="Y293" s="216"/>
      <c r="Z293" s="215"/>
      <c r="AA293" s="216"/>
      <c r="AB293" s="217" t="e">
        <f t="shared" si="8"/>
        <v>#DIV/0!</v>
      </c>
      <c r="AC293" s="210" t="e">
        <f t="shared" si="9"/>
        <v>#DIV/0!</v>
      </c>
    </row>
    <row r="294" spans="2:29" ht="35.1" customHeight="1" x14ac:dyDescent="0.2">
      <c r="B294" s="211"/>
      <c r="C294" s="211"/>
      <c r="D294" s="211"/>
      <c r="E294" s="211"/>
      <c r="F294" s="212"/>
      <c r="G294" s="213"/>
      <c r="H294" s="213"/>
      <c r="I294" s="214"/>
      <c r="J294" s="215"/>
      <c r="K294" s="214"/>
      <c r="L294" s="215"/>
      <c r="M294" s="216"/>
      <c r="N294" s="215"/>
      <c r="O294" s="216"/>
      <c r="P294" s="215"/>
      <c r="Q294" s="216"/>
      <c r="R294" s="215"/>
      <c r="S294" s="216"/>
      <c r="T294" s="215"/>
      <c r="U294" s="216"/>
      <c r="V294" s="215"/>
      <c r="W294" s="216"/>
      <c r="X294" s="215"/>
      <c r="Y294" s="216"/>
      <c r="Z294" s="215"/>
      <c r="AA294" s="216"/>
      <c r="AB294" s="217" t="e">
        <f t="shared" si="8"/>
        <v>#DIV/0!</v>
      </c>
      <c r="AC294" s="210" t="e">
        <f t="shared" si="9"/>
        <v>#DIV/0!</v>
      </c>
    </row>
    <row r="295" spans="2:29" ht="35.1" customHeight="1" x14ac:dyDescent="0.2">
      <c r="B295" s="211"/>
      <c r="C295" s="211"/>
      <c r="D295" s="211"/>
      <c r="E295" s="211"/>
      <c r="F295" s="212"/>
      <c r="G295" s="213"/>
      <c r="H295" s="213"/>
      <c r="I295" s="214"/>
      <c r="J295" s="215"/>
      <c r="K295" s="214"/>
      <c r="L295" s="215"/>
      <c r="M295" s="216"/>
      <c r="N295" s="215"/>
      <c r="O295" s="216"/>
      <c r="P295" s="215"/>
      <c r="Q295" s="216"/>
      <c r="R295" s="215"/>
      <c r="S295" s="216"/>
      <c r="T295" s="215"/>
      <c r="U295" s="216"/>
      <c r="V295" s="215"/>
      <c r="W295" s="216"/>
      <c r="X295" s="215"/>
      <c r="Y295" s="216"/>
      <c r="Z295" s="215"/>
      <c r="AA295" s="216"/>
      <c r="AB295" s="217" t="e">
        <f t="shared" si="8"/>
        <v>#DIV/0!</v>
      </c>
      <c r="AC295" s="210" t="e">
        <f t="shared" si="9"/>
        <v>#DIV/0!</v>
      </c>
    </row>
    <row r="296" spans="2:29" ht="47.25" customHeight="1" x14ac:dyDescent="0.2">
      <c r="B296" s="211"/>
      <c r="C296" s="211"/>
      <c r="D296" s="211"/>
      <c r="E296" s="211"/>
      <c r="F296" s="212"/>
      <c r="G296" s="213"/>
      <c r="H296" s="213"/>
      <c r="I296" s="214"/>
      <c r="J296" s="215"/>
      <c r="K296" s="214"/>
      <c r="L296" s="215"/>
      <c r="M296" s="216"/>
      <c r="N296" s="215"/>
      <c r="O296" s="216"/>
      <c r="P296" s="215"/>
      <c r="Q296" s="216"/>
      <c r="R296" s="215"/>
      <c r="S296" s="216"/>
      <c r="T296" s="215"/>
      <c r="U296" s="216"/>
      <c r="V296" s="215"/>
      <c r="W296" s="216"/>
      <c r="X296" s="215"/>
      <c r="Y296" s="216"/>
      <c r="Z296" s="215"/>
      <c r="AA296" s="216"/>
      <c r="AB296" s="217" t="e">
        <f t="shared" si="8"/>
        <v>#DIV/0!</v>
      </c>
      <c r="AC296" s="210" t="e">
        <f t="shared" si="9"/>
        <v>#DIV/0!</v>
      </c>
    </row>
    <row r="297" spans="2:29" ht="35.1" customHeight="1" thickBot="1" x14ac:dyDescent="0.25">
      <c r="B297" s="218"/>
      <c r="C297" s="218"/>
      <c r="D297" s="218"/>
      <c r="E297" s="218"/>
      <c r="F297" s="219"/>
      <c r="G297" s="220"/>
      <c r="H297" s="220"/>
      <c r="I297" s="221"/>
      <c r="J297" s="222"/>
      <c r="K297" s="221"/>
      <c r="L297" s="222"/>
      <c r="M297" s="223"/>
      <c r="N297" s="222"/>
      <c r="O297" s="223"/>
      <c r="P297" s="222"/>
      <c r="Q297" s="223"/>
      <c r="R297" s="222"/>
      <c r="S297" s="223"/>
      <c r="T297" s="222"/>
      <c r="U297" s="223"/>
      <c r="V297" s="222"/>
      <c r="W297" s="223"/>
      <c r="X297" s="222"/>
      <c r="Y297" s="223"/>
      <c r="Z297" s="222"/>
      <c r="AA297" s="223"/>
      <c r="AB297" s="217" t="e">
        <f t="shared" si="8"/>
        <v>#DIV/0!</v>
      </c>
      <c r="AC297" s="210" t="e">
        <f t="shared" si="9"/>
        <v>#DIV/0!</v>
      </c>
    </row>
    <row r="298" spans="2:29" ht="15" customHeight="1" thickTop="1" x14ac:dyDescent="0.2"/>
    <row r="299" spans="2:29" ht="15" customHeight="1" x14ac:dyDescent="0.2"/>
    <row r="300" spans="2:29" ht="15" customHeight="1" x14ac:dyDescent="0.2"/>
    <row r="301" spans="2:29" ht="15" customHeight="1" x14ac:dyDescent="0.2"/>
    <row r="302" spans="2:29" ht="15" customHeight="1" x14ac:dyDescent="0.2"/>
    <row r="303" spans="2:29" ht="15.75" customHeight="1" x14ac:dyDescent="0.2"/>
    <row r="304" spans="2:29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.7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.7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.7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.7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.7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.75" customHeight="1" x14ac:dyDescent="0.2"/>
    <row r="340" ht="15.7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.7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.7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.7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.7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.7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.7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.7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.7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.75" customHeight="1" x14ac:dyDescent="0.2"/>
    <row r="394" ht="15.7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.7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.7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.7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.7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.7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.7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.7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.7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.75" customHeight="1" x14ac:dyDescent="0.2"/>
    <row r="448" ht="15.7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.7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.7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.7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.7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.7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.7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.7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.7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.75" customHeight="1" x14ac:dyDescent="0.2"/>
    <row r="502" ht="15.7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.7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.7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.7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.7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.7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.7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.7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.7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.75" customHeight="1" x14ac:dyDescent="0.2"/>
    <row r="556" ht="15.7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.7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.7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.7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.7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.7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.7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.7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.7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.75" customHeight="1" x14ac:dyDescent="0.2"/>
    <row r="610" ht="15.7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.7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.7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.7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.7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.7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.7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.7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.7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.75" customHeight="1" x14ac:dyDescent="0.2"/>
    <row r="664" ht="15.7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.7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.7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.7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.7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.7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.7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.7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.7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.75" customHeight="1" x14ac:dyDescent="0.2"/>
    <row r="718" ht="15.7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.7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.7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.7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.7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.7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.7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.7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.7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.75" customHeight="1" x14ac:dyDescent="0.2"/>
    <row r="772" ht="15.7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.7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.7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.7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.7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.7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.7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.7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.7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.75" customHeight="1" x14ac:dyDescent="0.2"/>
    <row r="826" ht="15.7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.7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.7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.7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.7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.7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.7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.7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.7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.75" customHeight="1" x14ac:dyDescent="0.2"/>
    <row r="880" ht="15.7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.7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.7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.7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.7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.7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.7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</sheetData>
  <mergeCells count="20">
    <mergeCell ref="AB2:AB3"/>
    <mergeCell ref="AC2:AC3"/>
    <mergeCell ref="P2:Q2"/>
    <mergeCell ref="R2:S2"/>
    <mergeCell ref="T2:U2"/>
    <mergeCell ref="V2:W2"/>
    <mergeCell ref="X2:Y2"/>
    <mergeCell ref="Z2:AA2"/>
    <mergeCell ref="H2:H3"/>
    <mergeCell ref="I2:I3"/>
    <mergeCell ref="J2:J3"/>
    <mergeCell ref="K2:K3"/>
    <mergeCell ref="L2:M2"/>
    <mergeCell ref="N2:O2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R6"/>
  <sheetViews>
    <sheetView workbookViewId="0">
      <selection activeCell="H5" sqref="H5"/>
    </sheetView>
  </sheetViews>
  <sheetFormatPr defaultRowHeight="14.25" x14ac:dyDescent="0.2"/>
  <cols>
    <col min="2" max="2" width="22.75" customWidth="1"/>
    <col min="7" max="7" width="11" customWidth="1"/>
  </cols>
  <sheetData>
    <row r="2" spans="2:18" ht="15" x14ac:dyDescent="0.2">
      <c r="B2" s="104"/>
      <c r="C2" s="105" t="s">
        <v>86</v>
      </c>
      <c r="D2" s="105"/>
      <c r="E2" s="105"/>
      <c r="F2" s="105"/>
      <c r="G2" s="120" t="s">
        <v>87</v>
      </c>
      <c r="H2" s="121"/>
      <c r="I2" s="121"/>
      <c r="J2" s="122"/>
      <c r="K2" s="120" t="s">
        <v>88</v>
      </c>
      <c r="L2" s="121"/>
      <c r="M2" s="121"/>
      <c r="N2" s="122"/>
      <c r="O2" s="120" t="s">
        <v>89</v>
      </c>
      <c r="P2" s="121"/>
      <c r="Q2" s="121"/>
      <c r="R2" s="122"/>
    </row>
    <row r="3" spans="2:18" ht="30" x14ac:dyDescent="0.2">
      <c r="B3" s="106"/>
      <c r="C3" s="107" t="s">
        <v>90</v>
      </c>
      <c r="D3" s="107" t="s">
        <v>91</v>
      </c>
      <c r="E3" s="107" t="s">
        <v>92</v>
      </c>
      <c r="F3" s="108" t="s">
        <v>93</v>
      </c>
      <c r="G3" s="109" t="s">
        <v>94</v>
      </c>
      <c r="H3" s="110" t="s">
        <v>75</v>
      </c>
      <c r="I3" s="111" t="s">
        <v>95</v>
      </c>
      <c r="J3" s="112" t="s">
        <v>96</v>
      </c>
      <c r="K3" s="113" t="s">
        <v>97</v>
      </c>
      <c r="L3" s="114" t="s">
        <v>98</v>
      </c>
      <c r="M3" s="114" t="s">
        <v>99</v>
      </c>
      <c r="N3" s="114" t="s">
        <v>100</v>
      </c>
      <c r="O3" s="113" t="s">
        <v>97</v>
      </c>
      <c r="P3" s="114" t="s">
        <v>98</v>
      </c>
      <c r="Q3" s="114" t="s">
        <v>99</v>
      </c>
      <c r="R3" s="115" t="s">
        <v>100</v>
      </c>
    </row>
    <row r="4" spans="2:18" ht="15.75" thickBot="1" x14ac:dyDescent="0.25">
      <c r="B4" s="82"/>
      <c r="C4" s="116"/>
      <c r="D4" s="116"/>
      <c r="E4" s="116"/>
      <c r="F4" s="116"/>
      <c r="G4" s="117">
        <f>'FR SNR'!D7</f>
        <v>0</v>
      </c>
      <c r="H4" s="116">
        <f>Dynamic_Range!F6</f>
        <v>0</v>
      </c>
      <c r="I4" s="118"/>
      <c r="J4" s="116"/>
      <c r="K4" s="117"/>
      <c r="L4" s="117"/>
      <c r="M4" s="117"/>
      <c r="N4" s="117"/>
      <c r="O4" s="117"/>
      <c r="P4" s="117"/>
      <c r="Q4" s="117"/>
      <c r="R4" s="117"/>
    </row>
    <row r="5" spans="2:18" ht="15" x14ac:dyDescent="0.2">
      <c r="B5" s="91"/>
      <c r="C5" s="116"/>
      <c r="D5" s="116"/>
      <c r="E5" s="116"/>
      <c r="F5" s="116"/>
      <c r="G5" s="117"/>
      <c r="H5" s="116"/>
      <c r="I5" s="118"/>
      <c r="J5" s="116"/>
      <c r="K5" s="117"/>
      <c r="L5" s="117"/>
      <c r="M5" s="117"/>
      <c r="N5" s="117"/>
      <c r="O5" s="117"/>
      <c r="P5" s="117"/>
      <c r="Q5" s="117"/>
      <c r="R5" s="117"/>
    </row>
    <row r="6" spans="2:18" ht="15" x14ac:dyDescent="0.2">
      <c r="B6" s="91"/>
      <c r="G6" s="117"/>
      <c r="H6" s="116"/>
      <c r="I6" s="118"/>
    </row>
  </sheetData>
  <mergeCells count="3">
    <mergeCell ref="G2:J2"/>
    <mergeCell ref="K2:N2"/>
    <mergeCell ref="O2:R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G19"/>
  <sheetViews>
    <sheetView topLeftCell="A2" zoomScaleNormal="100" workbookViewId="0">
      <pane ySplit="4" topLeftCell="A6" activePane="bottomLeft" state="frozen"/>
      <selection activeCell="A2" sqref="A2"/>
      <selection pane="bottomLeft" activeCell="H9" sqref="H9"/>
    </sheetView>
  </sheetViews>
  <sheetFormatPr defaultColWidth="8.875" defaultRowHeight="14.25" x14ac:dyDescent="0.2"/>
  <cols>
    <col min="1" max="1" width="8.875" style="67" customWidth="1"/>
    <col min="2" max="2" width="4.625" style="67" hidden="1" customWidth="1"/>
    <col min="3" max="3" width="9" style="67" hidden="1" customWidth="1"/>
    <col min="4" max="4" width="21.5" style="67" bestFit="1" customWidth="1"/>
    <col min="5" max="5" width="9.125" style="67" hidden="1" customWidth="1"/>
    <col min="6" max="8" width="10.875" style="68" customWidth="1"/>
    <col min="9" max="38" width="8" style="67" customWidth="1"/>
    <col min="39" max="39" width="2.875" style="67" customWidth="1"/>
    <col min="40" max="40" width="22" style="67" customWidth="1"/>
    <col min="41" max="41" width="9" style="67" customWidth="1"/>
    <col min="42" max="42" width="9.625" style="67" customWidth="1"/>
    <col min="43" max="43" width="9.125" style="67" customWidth="1"/>
    <col min="44" max="44" width="9.625" style="67" customWidth="1"/>
    <col min="45" max="45" width="9.875" style="67" customWidth="1"/>
    <col min="46" max="46" width="8.875" style="67" customWidth="1"/>
    <col min="47" max="16384" width="8.875" style="67"/>
  </cols>
  <sheetData>
    <row r="1" spans="4:59" ht="108.6" customHeight="1" x14ac:dyDescent="0.2">
      <c r="D1" s="125" t="s">
        <v>71</v>
      </c>
      <c r="E1" s="125"/>
      <c r="F1" s="125"/>
      <c r="G1" s="125"/>
      <c r="H1" s="125"/>
      <c r="I1" s="125"/>
      <c r="J1" s="125"/>
      <c r="K1" s="125"/>
      <c r="L1" s="126"/>
      <c r="M1" s="126"/>
      <c r="N1" s="126"/>
      <c r="O1" s="126"/>
      <c r="P1" s="126"/>
      <c r="Q1" s="126"/>
      <c r="R1" s="126"/>
    </row>
    <row r="2" spans="4:59" ht="15" thickBot="1" x14ac:dyDescent="0.25"/>
    <row r="3" spans="4:59" ht="18.600000000000001" customHeight="1" thickBot="1" x14ac:dyDescent="0.3">
      <c r="D3" s="123" t="s">
        <v>72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69"/>
      <c r="AF3" s="69"/>
      <c r="AG3" s="69"/>
      <c r="AH3" s="69"/>
      <c r="AI3" s="69"/>
      <c r="AJ3" s="69"/>
      <c r="AM3" s="127" t="s">
        <v>73</v>
      </c>
      <c r="AN3" s="128"/>
      <c r="AO3" s="128"/>
      <c r="AP3" s="128"/>
      <c r="AQ3" s="128"/>
      <c r="AR3" s="128"/>
      <c r="AS3" s="128"/>
      <c r="AT3" s="128"/>
      <c r="AU3" s="128"/>
      <c r="AV3" s="128"/>
      <c r="AW3" s="128"/>
      <c r="AX3" s="128"/>
      <c r="AY3" s="128"/>
      <c r="AZ3" s="128"/>
      <c r="BA3" s="128"/>
      <c r="BB3" s="129"/>
    </row>
    <row r="4" spans="4:59" ht="36" x14ac:dyDescent="0.2">
      <c r="D4" s="70"/>
      <c r="E4" s="71" t="s">
        <v>74</v>
      </c>
      <c r="F4" s="72" t="s">
        <v>75</v>
      </c>
      <c r="G4" s="130" t="s">
        <v>76</v>
      </c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73"/>
      <c r="AF4" s="73"/>
      <c r="AG4" s="73"/>
      <c r="AH4" s="73"/>
      <c r="AI4" s="73"/>
      <c r="AJ4" s="73"/>
      <c r="AM4" s="74"/>
      <c r="AN4" s="131" t="s">
        <v>17</v>
      </c>
      <c r="AO4" s="132"/>
      <c r="AP4" s="132"/>
      <c r="AQ4" s="132"/>
      <c r="AR4" s="132"/>
      <c r="AS4" s="132"/>
      <c r="AT4" s="132"/>
      <c r="AU4" s="132"/>
      <c r="AV4" s="132"/>
      <c r="AW4" s="132"/>
      <c r="AX4" s="132"/>
      <c r="AY4" s="132"/>
      <c r="AZ4" s="132"/>
      <c r="BA4" s="132"/>
      <c r="BB4" s="133"/>
    </row>
    <row r="5" spans="4:59" ht="15" x14ac:dyDescent="0.2">
      <c r="D5" s="75" t="s">
        <v>77</v>
      </c>
      <c r="E5" s="76"/>
      <c r="F5" s="77"/>
      <c r="G5" s="78">
        <v>-36</v>
      </c>
      <c r="H5" s="78">
        <v>-33</v>
      </c>
      <c r="I5" s="79">
        <v>-30</v>
      </c>
      <c r="J5" s="79">
        <v>-27</v>
      </c>
      <c r="K5" s="79">
        <v>-24</v>
      </c>
      <c r="L5" s="79">
        <v>-21</v>
      </c>
      <c r="M5" s="79">
        <v>-18</v>
      </c>
      <c r="N5" s="79">
        <v>-15</v>
      </c>
      <c r="O5" s="79">
        <v>-12</v>
      </c>
      <c r="P5" s="79">
        <v>-9</v>
      </c>
      <c r="Q5" s="79">
        <v>-6</v>
      </c>
      <c r="R5" s="79">
        <v>-3</v>
      </c>
      <c r="S5" s="79">
        <v>0</v>
      </c>
      <c r="T5" s="79">
        <v>3</v>
      </c>
      <c r="U5" s="79">
        <v>6</v>
      </c>
      <c r="V5" s="79">
        <v>9</v>
      </c>
      <c r="W5" s="79">
        <v>12</v>
      </c>
      <c r="X5" s="79">
        <v>15</v>
      </c>
      <c r="Y5" s="79">
        <v>18</v>
      </c>
      <c r="Z5" s="80">
        <v>21</v>
      </c>
      <c r="AA5" s="78">
        <v>24</v>
      </c>
      <c r="AB5" s="79">
        <v>27</v>
      </c>
      <c r="AC5" s="79">
        <v>30</v>
      </c>
      <c r="AD5" s="80">
        <v>33</v>
      </c>
      <c r="AE5" s="78">
        <v>36</v>
      </c>
      <c r="AF5" s="79">
        <v>39</v>
      </c>
      <c r="AG5" s="79">
        <v>42</v>
      </c>
      <c r="AH5" s="80">
        <v>45</v>
      </c>
      <c r="AI5" s="78">
        <v>48</v>
      </c>
      <c r="AJ5" s="79">
        <v>50</v>
      </c>
      <c r="AM5" s="81"/>
      <c r="AN5" s="75" t="s">
        <v>78</v>
      </c>
      <c r="AO5" s="79">
        <v>1</v>
      </c>
      <c r="AP5" s="79">
        <v>4</v>
      </c>
      <c r="AQ5" s="79">
        <v>7</v>
      </c>
      <c r="AR5" s="79">
        <v>10</v>
      </c>
      <c r="AS5" s="79">
        <v>14</v>
      </c>
      <c r="AT5" s="79">
        <v>17</v>
      </c>
      <c r="AU5" s="79">
        <v>20</v>
      </c>
      <c r="AV5" s="79">
        <v>23</v>
      </c>
      <c r="AW5" s="79">
        <v>26</v>
      </c>
      <c r="AX5" s="79">
        <v>29</v>
      </c>
      <c r="AY5" s="79">
        <v>32</v>
      </c>
      <c r="AZ5" s="79">
        <v>35</v>
      </c>
      <c r="BA5" s="79">
        <v>38</v>
      </c>
      <c r="BB5" s="79">
        <v>41</v>
      </c>
      <c r="BC5" s="78">
        <v>44</v>
      </c>
    </row>
    <row r="6" spans="4:59" ht="16.5" thickBot="1" x14ac:dyDescent="0.25">
      <c r="D6" s="82" t="s">
        <v>79</v>
      </c>
      <c r="E6" s="83">
        <v>0.81</v>
      </c>
      <c r="F6" s="84">
        <f>MAX(G16:AD16)-MIN(G16:AD16)</f>
        <v>0</v>
      </c>
      <c r="G6" s="85"/>
      <c r="H6" s="85"/>
      <c r="I6" s="85"/>
      <c r="AD6" s="85"/>
      <c r="AE6" s="85"/>
      <c r="AF6" s="85"/>
      <c r="AG6" s="85"/>
      <c r="AH6" s="85"/>
      <c r="AI6" s="85"/>
      <c r="AJ6" s="85"/>
      <c r="AN6" s="75" t="s">
        <v>80</v>
      </c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7"/>
    </row>
    <row r="7" spans="4:59" ht="16.5" thickBot="1" x14ac:dyDescent="0.25">
      <c r="D7" s="82" t="s">
        <v>81</v>
      </c>
      <c r="E7" s="83">
        <v>0.81</v>
      </c>
      <c r="F7" s="84">
        <f t="shared" ref="F7:F8" si="0">MAX(G17:AD17)-MIN(G17:AD17)</f>
        <v>0</v>
      </c>
      <c r="G7" s="85"/>
      <c r="H7" s="85"/>
      <c r="I7" s="85"/>
      <c r="J7" s="85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M7" s="89"/>
      <c r="AN7" s="82" t="s">
        <v>82</v>
      </c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90"/>
    </row>
    <row r="8" spans="4:59" ht="16.5" thickBot="1" x14ac:dyDescent="0.25">
      <c r="D8" s="91" t="s">
        <v>83</v>
      </c>
      <c r="E8" s="92">
        <v>0.81</v>
      </c>
      <c r="F8" s="84">
        <f t="shared" si="0"/>
        <v>0</v>
      </c>
      <c r="G8" s="85"/>
      <c r="H8" s="85"/>
      <c r="I8" s="85"/>
      <c r="J8" s="85"/>
      <c r="K8" s="93"/>
      <c r="L8" s="93"/>
      <c r="M8" s="93"/>
      <c r="N8" s="93"/>
      <c r="O8" s="93"/>
      <c r="P8" s="93"/>
      <c r="Q8" s="93"/>
      <c r="R8" s="93"/>
      <c r="S8" s="93"/>
      <c r="T8" s="93"/>
      <c r="U8" s="94"/>
      <c r="V8" s="94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</row>
    <row r="9" spans="4:59" ht="16.5" thickBot="1" x14ac:dyDescent="0.25">
      <c r="D9" s="75" t="s">
        <v>84</v>
      </c>
      <c r="E9" s="95">
        <v>0.81</v>
      </c>
      <c r="F9" s="84">
        <f>MAX(G19:AJJ19)-MIN(G19:AJ19)</f>
        <v>0</v>
      </c>
      <c r="G9" s="85"/>
      <c r="H9" s="85"/>
      <c r="I9" s="85"/>
      <c r="J9" s="85"/>
      <c r="K9" s="85"/>
      <c r="L9" s="85"/>
      <c r="M9" s="85"/>
      <c r="N9" s="85"/>
      <c r="O9" s="88"/>
      <c r="P9" s="88"/>
      <c r="Q9" s="88"/>
      <c r="R9" s="88"/>
      <c r="S9" s="88"/>
      <c r="T9" s="88"/>
      <c r="U9" s="88"/>
      <c r="V9" s="88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N9" s="75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8"/>
    </row>
    <row r="10" spans="4:59" ht="19.5" customHeight="1" x14ac:dyDescent="0.25">
      <c r="D10" s="123" t="s">
        <v>85</v>
      </c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69"/>
      <c r="AF10" s="69"/>
      <c r="AG10" s="69"/>
      <c r="AH10" s="69"/>
      <c r="AI10" s="69"/>
      <c r="AJ10" s="69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</row>
    <row r="11" spans="4:59" ht="15.75" thickBot="1" x14ac:dyDescent="0.25">
      <c r="D11" s="82" t="str">
        <f>D6</f>
        <v>Simulator</v>
      </c>
      <c r="E11" s="97"/>
      <c r="F11" s="98"/>
      <c r="G11" s="99" t="str">
        <f>IF(G6&lt;&gt;"",G6/MAX($G6:$AJ6),"")</f>
        <v/>
      </c>
      <c r="H11" s="99" t="str">
        <f t="shared" ref="H11:AJ14" si="1">IF(H6&lt;&gt;"",H6/MAX($G6:$AJ6),"")</f>
        <v/>
      </c>
      <c r="I11" s="99" t="str">
        <f t="shared" si="1"/>
        <v/>
      </c>
      <c r="J11" s="99" t="str">
        <f t="shared" si="1"/>
        <v/>
      </c>
      <c r="K11" s="99" t="str">
        <f t="shared" si="1"/>
        <v/>
      </c>
      <c r="L11" s="99" t="str">
        <f t="shared" si="1"/>
        <v/>
      </c>
      <c r="M11" s="99" t="str">
        <f t="shared" si="1"/>
        <v/>
      </c>
      <c r="N11" s="99" t="str">
        <f t="shared" si="1"/>
        <v/>
      </c>
      <c r="O11" s="99" t="str">
        <f t="shared" si="1"/>
        <v/>
      </c>
      <c r="P11" s="99" t="str">
        <f t="shared" si="1"/>
        <v/>
      </c>
      <c r="Q11" s="99" t="str">
        <f t="shared" si="1"/>
        <v/>
      </c>
      <c r="R11" s="99" t="str">
        <f t="shared" si="1"/>
        <v/>
      </c>
      <c r="S11" s="99" t="str">
        <f t="shared" si="1"/>
        <v/>
      </c>
      <c r="T11" s="99" t="str">
        <f t="shared" si="1"/>
        <v/>
      </c>
      <c r="U11" s="99" t="str">
        <f t="shared" si="1"/>
        <v/>
      </c>
      <c r="V11" s="99" t="str">
        <f t="shared" si="1"/>
        <v/>
      </c>
      <c r="W11" s="99" t="str">
        <f t="shared" si="1"/>
        <v/>
      </c>
      <c r="X11" s="99" t="str">
        <f t="shared" si="1"/>
        <v/>
      </c>
      <c r="Y11" s="99" t="str">
        <f t="shared" si="1"/>
        <v/>
      </c>
      <c r="Z11" s="99" t="str">
        <f t="shared" si="1"/>
        <v/>
      </c>
      <c r="AA11" s="99" t="str">
        <f t="shared" si="1"/>
        <v/>
      </c>
      <c r="AB11" s="99" t="str">
        <f t="shared" si="1"/>
        <v/>
      </c>
      <c r="AC11" s="99" t="str">
        <f t="shared" si="1"/>
        <v/>
      </c>
      <c r="AD11" s="99" t="str">
        <f t="shared" si="1"/>
        <v/>
      </c>
      <c r="AE11" s="99" t="str">
        <f t="shared" si="1"/>
        <v/>
      </c>
      <c r="AF11" s="99" t="str">
        <f t="shared" si="1"/>
        <v/>
      </c>
      <c r="AG11" s="99" t="str">
        <f t="shared" si="1"/>
        <v/>
      </c>
      <c r="AH11" s="99" t="str">
        <f t="shared" si="1"/>
        <v/>
      </c>
      <c r="AI11" s="99" t="str">
        <f t="shared" si="1"/>
        <v/>
      </c>
      <c r="AJ11" s="99" t="str">
        <f t="shared" si="1"/>
        <v/>
      </c>
    </row>
    <row r="12" spans="4:59" ht="15.75" thickBot="1" x14ac:dyDescent="0.25">
      <c r="D12" s="82" t="str">
        <f>D7</f>
        <v>SBC</v>
      </c>
      <c r="E12" s="97"/>
      <c r="F12" s="98"/>
      <c r="G12" s="99" t="str">
        <f t="shared" ref="G12:V14" si="2">IF(G7&lt;&gt;"",G7/MAX($G7:$AJ7),"")</f>
        <v/>
      </c>
      <c r="H12" s="99" t="str">
        <f t="shared" si="2"/>
        <v/>
      </c>
      <c r="I12" s="99" t="str">
        <f t="shared" si="2"/>
        <v/>
      </c>
      <c r="J12" s="99" t="str">
        <f t="shared" si="2"/>
        <v/>
      </c>
      <c r="K12" s="100" t="str">
        <f t="shared" si="2"/>
        <v/>
      </c>
      <c r="L12" s="100" t="str">
        <f t="shared" si="2"/>
        <v/>
      </c>
      <c r="M12" s="100" t="str">
        <f t="shared" si="2"/>
        <v/>
      </c>
      <c r="N12" s="100" t="str">
        <f t="shared" si="2"/>
        <v/>
      </c>
      <c r="O12" s="100" t="str">
        <f t="shared" si="2"/>
        <v/>
      </c>
      <c r="P12" s="100" t="str">
        <f t="shared" si="2"/>
        <v/>
      </c>
      <c r="Q12" s="100" t="str">
        <f t="shared" si="2"/>
        <v/>
      </c>
      <c r="R12" s="100" t="str">
        <f t="shared" si="2"/>
        <v/>
      </c>
      <c r="S12" s="100" t="str">
        <f t="shared" si="2"/>
        <v/>
      </c>
      <c r="T12" s="100" t="str">
        <f t="shared" si="2"/>
        <v/>
      </c>
      <c r="U12" s="100" t="str">
        <f t="shared" si="2"/>
        <v/>
      </c>
      <c r="V12" s="99" t="str">
        <f t="shared" si="2"/>
        <v/>
      </c>
      <c r="W12" s="99" t="str">
        <f t="shared" si="1"/>
        <v/>
      </c>
      <c r="X12" s="99" t="str">
        <f t="shared" si="1"/>
        <v/>
      </c>
      <c r="Y12" s="99" t="str">
        <f t="shared" si="1"/>
        <v/>
      </c>
      <c r="Z12" s="99" t="str">
        <f t="shared" si="1"/>
        <v/>
      </c>
      <c r="AA12" s="99" t="str">
        <f t="shared" si="1"/>
        <v/>
      </c>
      <c r="AB12" s="99" t="str">
        <f t="shared" si="1"/>
        <v/>
      </c>
      <c r="AC12" s="99" t="str">
        <f t="shared" si="1"/>
        <v/>
      </c>
      <c r="AD12" s="99" t="str">
        <f t="shared" si="1"/>
        <v/>
      </c>
      <c r="AE12" s="99" t="str">
        <f t="shared" si="1"/>
        <v/>
      </c>
      <c r="AF12" s="99" t="str">
        <f t="shared" si="1"/>
        <v/>
      </c>
      <c r="AG12" s="99" t="str">
        <f t="shared" si="1"/>
        <v/>
      </c>
      <c r="AH12" s="99" t="str">
        <f t="shared" si="1"/>
        <v/>
      </c>
      <c r="AI12" s="99" t="str">
        <f t="shared" si="1"/>
        <v/>
      </c>
      <c r="AJ12" s="99" t="str">
        <f t="shared" si="1"/>
        <v/>
      </c>
    </row>
    <row r="13" spans="4:59" ht="15.75" thickBot="1" x14ac:dyDescent="0.25">
      <c r="D13" s="82" t="str">
        <f>D8</f>
        <v>aptX</v>
      </c>
      <c r="E13" s="97"/>
      <c r="F13" s="98"/>
      <c r="G13" s="99" t="str">
        <f t="shared" si="2"/>
        <v/>
      </c>
      <c r="H13" s="99" t="str">
        <f t="shared" si="1"/>
        <v/>
      </c>
      <c r="I13" s="99" t="str">
        <f t="shared" si="1"/>
        <v/>
      </c>
      <c r="J13" s="99" t="str">
        <f t="shared" si="1"/>
        <v/>
      </c>
      <c r="K13" s="100" t="str">
        <f t="shared" si="1"/>
        <v/>
      </c>
      <c r="L13" s="100" t="str">
        <f t="shared" si="1"/>
        <v/>
      </c>
      <c r="M13" s="100" t="str">
        <f t="shared" si="1"/>
        <v/>
      </c>
      <c r="N13" s="100" t="str">
        <f t="shared" si="1"/>
        <v/>
      </c>
      <c r="O13" s="100" t="str">
        <f t="shared" si="1"/>
        <v/>
      </c>
      <c r="P13" s="100" t="str">
        <f t="shared" si="1"/>
        <v/>
      </c>
      <c r="Q13" s="100" t="str">
        <f t="shared" si="1"/>
        <v/>
      </c>
      <c r="R13" s="100" t="str">
        <f t="shared" si="1"/>
        <v/>
      </c>
      <c r="S13" s="100" t="str">
        <f t="shared" si="1"/>
        <v/>
      </c>
      <c r="T13" s="100" t="str">
        <f t="shared" si="1"/>
        <v/>
      </c>
      <c r="U13" s="99" t="str">
        <f t="shared" si="1"/>
        <v/>
      </c>
      <c r="V13" s="99" t="str">
        <f t="shared" si="1"/>
        <v/>
      </c>
      <c r="W13" s="99" t="str">
        <f t="shared" si="1"/>
        <v/>
      </c>
      <c r="X13" s="99" t="str">
        <f t="shared" si="1"/>
        <v/>
      </c>
      <c r="Y13" s="99" t="str">
        <f t="shared" si="1"/>
        <v/>
      </c>
      <c r="Z13" s="99" t="str">
        <f t="shared" si="1"/>
        <v/>
      </c>
      <c r="AA13" s="99" t="str">
        <f t="shared" si="1"/>
        <v/>
      </c>
      <c r="AB13" s="99" t="str">
        <f t="shared" si="1"/>
        <v/>
      </c>
      <c r="AC13" s="99" t="str">
        <f t="shared" si="1"/>
        <v/>
      </c>
      <c r="AD13" s="99" t="str">
        <f t="shared" si="1"/>
        <v/>
      </c>
      <c r="AE13" s="99" t="str">
        <f t="shared" si="1"/>
        <v/>
      </c>
      <c r="AF13" s="99" t="str">
        <f t="shared" si="1"/>
        <v/>
      </c>
      <c r="AG13" s="99" t="str">
        <f t="shared" si="1"/>
        <v/>
      </c>
      <c r="AH13" s="99" t="str">
        <f t="shared" si="1"/>
        <v/>
      </c>
      <c r="AI13" s="99" t="str">
        <f t="shared" si="1"/>
        <v/>
      </c>
      <c r="AJ13" s="99" t="str">
        <f t="shared" si="1"/>
        <v/>
      </c>
    </row>
    <row r="14" spans="4:59" ht="15.75" thickBot="1" x14ac:dyDescent="0.25">
      <c r="D14" s="82" t="str">
        <f>D9</f>
        <v>JayBird Release</v>
      </c>
      <c r="E14" s="101"/>
      <c r="F14" s="101"/>
      <c r="G14" s="99" t="str">
        <f t="shared" si="2"/>
        <v/>
      </c>
      <c r="H14" s="99" t="str">
        <f t="shared" si="1"/>
        <v/>
      </c>
      <c r="I14" s="99" t="str">
        <f t="shared" si="1"/>
        <v/>
      </c>
      <c r="J14" s="99" t="str">
        <f t="shared" si="1"/>
        <v/>
      </c>
      <c r="K14" s="99" t="str">
        <f t="shared" si="1"/>
        <v/>
      </c>
      <c r="L14" s="99" t="str">
        <f t="shared" si="1"/>
        <v/>
      </c>
      <c r="M14" s="99" t="str">
        <f t="shared" si="1"/>
        <v/>
      </c>
      <c r="N14" s="99" t="str">
        <f t="shared" si="1"/>
        <v/>
      </c>
      <c r="O14" s="100" t="str">
        <f t="shared" si="1"/>
        <v/>
      </c>
      <c r="P14" s="100" t="str">
        <f t="shared" si="1"/>
        <v/>
      </c>
      <c r="Q14" s="100" t="str">
        <f t="shared" si="1"/>
        <v/>
      </c>
      <c r="R14" s="100" t="str">
        <f t="shared" si="1"/>
        <v/>
      </c>
      <c r="S14" s="100" t="str">
        <f t="shared" si="1"/>
        <v/>
      </c>
      <c r="T14" s="100" t="str">
        <f t="shared" si="1"/>
        <v/>
      </c>
      <c r="U14" s="100" t="str">
        <f t="shared" si="1"/>
        <v/>
      </c>
      <c r="V14" s="100" t="str">
        <f t="shared" si="1"/>
        <v/>
      </c>
      <c r="W14" s="99" t="str">
        <f t="shared" si="1"/>
        <v/>
      </c>
      <c r="X14" s="99" t="str">
        <f t="shared" si="1"/>
        <v/>
      </c>
      <c r="Y14" s="99" t="str">
        <f t="shared" si="1"/>
        <v/>
      </c>
      <c r="Z14" s="99" t="str">
        <f t="shared" si="1"/>
        <v/>
      </c>
      <c r="AA14" s="99" t="str">
        <f t="shared" si="1"/>
        <v/>
      </c>
      <c r="AB14" s="99" t="str">
        <f t="shared" si="1"/>
        <v/>
      </c>
      <c r="AC14" s="99" t="str">
        <f t="shared" si="1"/>
        <v/>
      </c>
      <c r="AD14" s="99" t="str">
        <f t="shared" si="1"/>
        <v/>
      </c>
      <c r="AE14" s="99" t="str">
        <f t="shared" si="1"/>
        <v/>
      </c>
      <c r="AF14" s="99" t="str">
        <f t="shared" si="1"/>
        <v/>
      </c>
      <c r="AG14" s="99" t="str">
        <f t="shared" si="1"/>
        <v/>
      </c>
      <c r="AH14" s="99" t="str">
        <f t="shared" si="1"/>
        <v/>
      </c>
      <c r="AI14" s="99" t="str">
        <f t="shared" si="1"/>
        <v/>
      </c>
      <c r="AJ14" s="99" t="str">
        <f t="shared" si="1"/>
        <v/>
      </c>
    </row>
    <row r="15" spans="4:59" ht="15" hidden="1" x14ac:dyDescent="0.2">
      <c r="D15" s="91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</row>
    <row r="16" spans="4:59" ht="15.75" hidden="1" thickBot="1" x14ac:dyDescent="0.25">
      <c r="D16" s="82" t="str">
        <f>D6</f>
        <v>Simulator</v>
      </c>
      <c r="E16" s="102"/>
      <c r="F16" s="102"/>
      <c r="G16" s="103" t="str">
        <f>IF(G11&lt;&gt;"",G$5*IF(G11&gt;=0.9,1,0),"")</f>
        <v/>
      </c>
      <c r="H16" s="103" t="str">
        <f t="shared" ref="H16:AJ19" si="3">IF(H11&lt;&gt;"",H$5*IF(H11&gt;=0.9,1,0),"")</f>
        <v/>
      </c>
      <c r="I16" s="103" t="str">
        <f t="shared" si="3"/>
        <v/>
      </c>
      <c r="J16" s="103" t="str">
        <f t="shared" si="3"/>
        <v/>
      </c>
      <c r="K16" s="103" t="str">
        <f t="shared" si="3"/>
        <v/>
      </c>
      <c r="L16" s="103" t="str">
        <f t="shared" si="3"/>
        <v/>
      </c>
      <c r="M16" s="103" t="str">
        <f t="shared" si="3"/>
        <v/>
      </c>
      <c r="N16" s="103" t="str">
        <f t="shared" si="3"/>
        <v/>
      </c>
      <c r="O16" s="103" t="str">
        <f t="shared" si="3"/>
        <v/>
      </c>
      <c r="P16" s="103" t="str">
        <f t="shared" si="3"/>
        <v/>
      </c>
      <c r="Q16" s="103" t="str">
        <f t="shared" si="3"/>
        <v/>
      </c>
      <c r="R16" s="103" t="str">
        <f t="shared" si="3"/>
        <v/>
      </c>
      <c r="S16" s="103" t="str">
        <f t="shared" si="3"/>
        <v/>
      </c>
      <c r="T16" s="103" t="str">
        <f t="shared" si="3"/>
        <v/>
      </c>
      <c r="U16" s="103" t="str">
        <f t="shared" si="3"/>
        <v/>
      </c>
      <c r="V16" s="103" t="str">
        <f t="shared" si="3"/>
        <v/>
      </c>
      <c r="W16" s="103" t="str">
        <f t="shared" si="3"/>
        <v/>
      </c>
      <c r="X16" s="103" t="str">
        <f t="shared" si="3"/>
        <v/>
      </c>
      <c r="Y16" s="103" t="str">
        <f t="shared" si="3"/>
        <v/>
      </c>
      <c r="Z16" s="103" t="str">
        <f t="shared" si="3"/>
        <v/>
      </c>
      <c r="AA16" s="103" t="str">
        <f t="shared" si="3"/>
        <v/>
      </c>
      <c r="AB16" s="103" t="str">
        <f t="shared" si="3"/>
        <v/>
      </c>
      <c r="AC16" s="103" t="str">
        <f t="shared" si="3"/>
        <v/>
      </c>
      <c r="AD16" s="103" t="str">
        <f t="shared" si="3"/>
        <v/>
      </c>
      <c r="AE16" s="103" t="str">
        <f t="shared" si="3"/>
        <v/>
      </c>
      <c r="AF16" s="103" t="str">
        <f t="shared" si="3"/>
        <v/>
      </c>
      <c r="AG16" s="103" t="str">
        <f t="shared" si="3"/>
        <v/>
      </c>
      <c r="AH16" s="103" t="str">
        <f t="shared" si="3"/>
        <v/>
      </c>
      <c r="AI16" s="103" t="str">
        <f t="shared" si="3"/>
        <v/>
      </c>
      <c r="AJ16" s="103" t="str">
        <f t="shared" si="3"/>
        <v/>
      </c>
    </row>
    <row r="17" spans="4:36" ht="15.75" hidden="1" thickBot="1" x14ac:dyDescent="0.25">
      <c r="D17" s="82" t="str">
        <f>D7</f>
        <v>SBC</v>
      </c>
      <c r="E17" s="102"/>
      <c r="F17" s="102"/>
      <c r="G17" s="103" t="str">
        <f t="shared" ref="G17:V19" si="4">IF(G12&lt;&gt;"",G$5*IF(G12&gt;=0.9,1,0),"")</f>
        <v/>
      </c>
      <c r="H17" s="103" t="str">
        <f t="shared" si="4"/>
        <v/>
      </c>
      <c r="I17" s="103" t="str">
        <f t="shared" si="4"/>
        <v/>
      </c>
      <c r="J17" s="103" t="str">
        <f t="shared" si="4"/>
        <v/>
      </c>
      <c r="K17" s="103" t="str">
        <f t="shared" si="4"/>
        <v/>
      </c>
      <c r="L17" s="103" t="str">
        <f t="shared" si="4"/>
        <v/>
      </c>
      <c r="M17" s="103" t="str">
        <f t="shared" si="4"/>
        <v/>
      </c>
      <c r="N17" s="103" t="str">
        <f t="shared" si="4"/>
        <v/>
      </c>
      <c r="O17" s="103" t="str">
        <f t="shared" si="4"/>
        <v/>
      </c>
      <c r="P17" s="103" t="str">
        <f t="shared" si="4"/>
        <v/>
      </c>
      <c r="Q17" s="103" t="str">
        <f t="shared" si="4"/>
        <v/>
      </c>
      <c r="R17" s="103" t="str">
        <f t="shared" si="4"/>
        <v/>
      </c>
      <c r="S17" s="103" t="str">
        <f t="shared" si="4"/>
        <v/>
      </c>
      <c r="T17" s="103" t="str">
        <f t="shared" si="4"/>
        <v/>
      </c>
      <c r="U17" s="103" t="str">
        <f t="shared" si="4"/>
        <v/>
      </c>
      <c r="V17" s="103" t="str">
        <f t="shared" si="4"/>
        <v/>
      </c>
      <c r="W17" s="103" t="str">
        <f t="shared" si="3"/>
        <v/>
      </c>
      <c r="X17" s="103" t="str">
        <f t="shared" si="3"/>
        <v/>
      </c>
      <c r="Y17" s="103" t="str">
        <f t="shared" si="3"/>
        <v/>
      </c>
      <c r="Z17" s="103" t="str">
        <f t="shared" si="3"/>
        <v/>
      </c>
      <c r="AA17" s="103" t="str">
        <f t="shared" si="3"/>
        <v/>
      </c>
      <c r="AB17" s="103" t="str">
        <f t="shared" si="3"/>
        <v/>
      </c>
      <c r="AC17" s="103" t="str">
        <f t="shared" si="3"/>
        <v/>
      </c>
      <c r="AD17" s="103" t="str">
        <f t="shared" si="3"/>
        <v/>
      </c>
      <c r="AE17" s="103" t="str">
        <f t="shared" si="3"/>
        <v/>
      </c>
      <c r="AF17" s="103" t="str">
        <f t="shared" si="3"/>
        <v/>
      </c>
      <c r="AG17" s="103" t="str">
        <f t="shared" si="3"/>
        <v/>
      </c>
      <c r="AH17" s="103" t="str">
        <f t="shared" si="3"/>
        <v/>
      </c>
      <c r="AI17" s="103" t="str">
        <f t="shared" si="3"/>
        <v/>
      </c>
      <c r="AJ17" s="103" t="str">
        <f t="shared" si="3"/>
        <v/>
      </c>
    </row>
    <row r="18" spans="4:36" ht="15.75" hidden="1" thickBot="1" x14ac:dyDescent="0.25">
      <c r="D18" s="82" t="str">
        <f>D8</f>
        <v>aptX</v>
      </c>
      <c r="E18" s="102"/>
      <c r="F18" s="102"/>
      <c r="G18" s="103" t="str">
        <f t="shared" si="4"/>
        <v/>
      </c>
      <c r="H18" s="103" t="str">
        <f t="shared" si="3"/>
        <v/>
      </c>
      <c r="I18" s="103" t="str">
        <f t="shared" si="3"/>
        <v/>
      </c>
      <c r="J18" s="103" t="str">
        <f t="shared" si="3"/>
        <v/>
      </c>
      <c r="K18" s="103" t="str">
        <f t="shared" si="3"/>
        <v/>
      </c>
      <c r="L18" s="103" t="str">
        <f t="shared" si="3"/>
        <v/>
      </c>
      <c r="M18" s="103" t="str">
        <f t="shared" si="3"/>
        <v/>
      </c>
      <c r="N18" s="103" t="str">
        <f t="shared" si="3"/>
        <v/>
      </c>
      <c r="O18" s="103" t="str">
        <f t="shared" si="3"/>
        <v/>
      </c>
      <c r="P18" s="103" t="str">
        <f t="shared" si="3"/>
        <v/>
      </c>
      <c r="Q18" s="103" t="str">
        <f t="shared" si="3"/>
        <v/>
      </c>
      <c r="R18" s="103" t="str">
        <f t="shared" si="3"/>
        <v/>
      </c>
      <c r="S18" s="103" t="str">
        <f t="shared" si="3"/>
        <v/>
      </c>
      <c r="T18" s="103" t="str">
        <f t="shared" si="3"/>
        <v/>
      </c>
      <c r="U18" s="103" t="str">
        <f t="shared" si="3"/>
        <v/>
      </c>
      <c r="V18" s="103" t="str">
        <f t="shared" si="3"/>
        <v/>
      </c>
      <c r="W18" s="103" t="str">
        <f t="shared" si="3"/>
        <v/>
      </c>
      <c r="X18" s="103" t="str">
        <f t="shared" si="3"/>
        <v/>
      </c>
      <c r="Y18" s="103" t="str">
        <f t="shared" si="3"/>
        <v/>
      </c>
      <c r="Z18" s="103" t="str">
        <f t="shared" si="3"/>
        <v/>
      </c>
      <c r="AA18" s="103" t="str">
        <f t="shared" si="3"/>
        <v/>
      </c>
      <c r="AB18" s="103" t="str">
        <f t="shared" si="3"/>
        <v/>
      </c>
      <c r="AC18" s="103" t="str">
        <f t="shared" si="3"/>
        <v/>
      </c>
      <c r="AD18" s="103" t="str">
        <f t="shared" si="3"/>
        <v/>
      </c>
      <c r="AE18" s="103" t="str">
        <f t="shared" si="3"/>
        <v/>
      </c>
      <c r="AF18" s="103" t="str">
        <f t="shared" si="3"/>
        <v/>
      </c>
      <c r="AG18" s="103" t="str">
        <f t="shared" si="3"/>
        <v/>
      </c>
      <c r="AH18" s="103" t="str">
        <f t="shared" si="3"/>
        <v/>
      </c>
      <c r="AI18" s="103" t="str">
        <f t="shared" si="3"/>
        <v/>
      </c>
      <c r="AJ18" s="103" t="str">
        <f t="shared" si="3"/>
        <v/>
      </c>
    </row>
    <row r="19" spans="4:36" ht="15.75" hidden="1" thickBot="1" x14ac:dyDescent="0.25">
      <c r="D19" s="82" t="str">
        <f>D9</f>
        <v>JayBird Release</v>
      </c>
      <c r="G19" s="103" t="str">
        <f t="shared" si="4"/>
        <v/>
      </c>
      <c r="H19" s="103" t="str">
        <f t="shared" si="3"/>
        <v/>
      </c>
      <c r="I19" s="103" t="str">
        <f t="shared" si="3"/>
        <v/>
      </c>
      <c r="J19" s="103" t="str">
        <f t="shared" si="3"/>
        <v/>
      </c>
      <c r="K19" s="103" t="str">
        <f t="shared" si="3"/>
        <v/>
      </c>
      <c r="L19" s="103" t="str">
        <f t="shared" si="3"/>
        <v/>
      </c>
      <c r="M19" s="103" t="str">
        <f t="shared" si="3"/>
        <v/>
      </c>
      <c r="N19" s="103" t="str">
        <f t="shared" si="3"/>
        <v/>
      </c>
      <c r="O19" s="103" t="str">
        <f t="shared" si="3"/>
        <v/>
      </c>
      <c r="P19" s="103" t="str">
        <f t="shared" si="3"/>
        <v/>
      </c>
      <c r="Q19" s="103" t="str">
        <f t="shared" si="3"/>
        <v/>
      </c>
      <c r="R19" s="103" t="str">
        <f t="shared" si="3"/>
        <v/>
      </c>
      <c r="S19" s="103" t="str">
        <f t="shared" si="3"/>
        <v/>
      </c>
      <c r="T19" s="103" t="str">
        <f t="shared" si="3"/>
        <v/>
      </c>
      <c r="U19" s="103" t="str">
        <f t="shared" si="3"/>
        <v/>
      </c>
      <c r="V19" s="103" t="str">
        <f t="shared" si="3"/>
        <v/>
      </c>
      <c r="W19" s="103" t="str">
        <f t="shared" si="3"/>
        <v/>
      </c>
      <c r="X19" s="103" t="str">
        <f t="shared" si="3"/>
        <v/>
      </c>
      <c r="Y19" s="103" t="str">
        <f t="shared" si="3"/>
        <v/>
      </c>
      <c r="Z19" s="103" t="str">
        <f t="shared" si="3"/>
        <v/>
      </c>
      <c r="AA19" s="103" t="str">
        <f t="shared" si="3"/>
        <v/>
      </c>
      <c r="AB19" s="103" t="str">
        <f t="shared" si="3"/>
        <v/>
      </c>
      <c r="AC19" s="103" t="str">
        <f t="shared" si="3"/>
        <v/>
      </c>
      <c r="AD19" s="103" t="str">
        <f t="shared" si="3"/>
        <v/>
      </c>
      <c r="AE19" s="103" t="str">
        <f t="shared" si="3"/>
        <v/>
      </c>
      <c r="AF19" s="103" t="str">
        <f t="shared" si="3"/>
        <v/>
      </c>
      <c r="AG19" s="103" t="str">
        <f t="shared" si="3"/>
        <v/>
      </c>
      <c r="AH19" s="103" t="str">
        <f t="shared" si="3"/>
        <v/>
      </c>
      <c r="AI19" s="103" t="str">
        <f t="shared" si="3"/>
        <v/>
      </c>
      <c r="AJ19" s="103" t="str">
        <f t="shared" si="3"/>
        <v/>
      </c>
    </row>
  </sheetData>
  <mergeCells count="6">
    <mergeCell ref="D10:AD10"/>
    <mergeCell ref="D1:R1"/>
    <mergeCell ref="D3:AD3"/>
    <mergeCell ref="AM3:BB3"/>
    <mergeCell ref="G4:AD4"/>
    <mergeCell ref="AN4:BB4"/>
  </mergeCells>
  <conditionalFormatting sqref="I15:AJ15 G11:AJ14 AL11:AL15">
    <cfRule type="cellIs" dxfId="18" priority="2" operator="greaterThanOrEqual">
      <formula>0.9</formula>
    </cfRule>
  </conditionalFormatting>
  <conditionalFormatting sqref="AK11:AK15">
    <cfRule type="cellIs" dxfId="17" priority="1" operator="greaterThanOrEqual">
      <formula>0.8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B16"/>
  <sheetViews>
    <sheetView zoomScaleNormal="100" workbookViewId="0">
      <selection activeCell="N16" sqref="N16"/>
    </sheetView>
  </sheetViews>
  <sheetFormatPr defaultColWidth="8.875" defaultRowHeight="14.25" x14ac:dyDescent="0.2"/>
  <cols>
    <col min="1" max="1" width="8.875" style="52"/>
    <col min="2" max="2" width="16.625" style="52" customWidth="1"/>
    <col min="3" max="3" width="8.875" style="52" customWidth="1"/>
    <col min="4" max="4" width="9.375" style="52" customWidth="1"/>
    <col min="5" max="15" width="8.875" style="52"/>
    <col min="16" max="16" width="11.5" style="52" customWidth="1"/>
    <col min="17" max="17" width="9" style="52" bestFit="1" customWidth="1"/>
    <col min="18" max="28" width="8.875" style="52" customWidth="1"/>
    <col min="29" max="16384" width="8.875" style="52"/>
  </cols>
  <sheetData>
    <row r="1" spans="2:28" ht="45.6" customHeight="1" x14ac:dyDescent="0.2"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</row>
    <row r="3" spans="2:28" ht="51" customHeight="1" x14ac:dyDescent="0.2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53"/>
      <c r="N3" s="53"/>
      <c r="O3" s="53"/>
      <c r="R3" s="134"/>
      <c r="S3" s="134"/>
      <c r="T3" s="134"/>
      <c r="U3" s="134"/>
      <c r="V3" s="134"/>
      <c r="W3" s="134"/>
      <c r="X3" s="134"/>
      <c r="Y3" s="134"/>
      <c r="Z3" s="134"/>
      <c r="AA3" s="134"/>
    </row>
    <row r="5" spans="2:28" s="55" customFormat="1" ht="18" x14ac:dyDescent="0.25">
      <c r="B5" s="135" t="s">
        <v>17</v>
      </c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54"/>
      <c r="P5" s="135" t="s">
        <v>46</v>
      </c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</row>
    <row r="6" spans="2:28" ht="15" x14ac:dyDescent="0.25">
      <c r="B6" s="56"/>
      <c r="C6" s="56" t="s">
        <v>50</v>
      </c>
      <c r="D6" s="57">
        <v>-20</v>
      </c>
      <c r="E6" s="57">
        <v>-15</v>
      </c>
      <c r="F6" s="57">
        <v>-10</v>
      </c>
      <c r="G6" s="57">
        <v>-5</v>
      </c>
      <c r="H6" s="57">
        <v>0</v>
      </c>
      <c r="I6" s="57">
        <v>5</v>
      </c>
      <c r="J6" s="57">
        <v>10</v>
      </c>
      <c r="K6" s="58">
        <v>15</v>
      </c>
      <c r="L6" s="58">
        <v>20</v>
      </c>
      <c r="M6" s="59">
        <v>25</v>
      </c>
      <c r="N6" s="59">
        <v>30</v>
      </c>
      <c r="P6" s="56"/>
      <c r="Q6" s="56" t="s">
        <v>50</v>
      </c>
      <c r="R6" s="57">
        <v>-20</v>
      </c>
      <c r="S6" s="57">
        <v>-15</v>
      </c>
      <c r="T6" s="57">
        <v>-10</v>
      </c>
      <c r="U6" s="57">
        <v>-5</v>
      </c>
      <c r="V6" s="57">
        <v>0</v>
      </c>
      <c r="W6" s="57">
        <v>5</v>
      </c>
      <c r="X6" s="57">
        <v>10</v>
      </c>
      <c r="Y6" s="58">
        <v>15</v>
      </c>
      <c r="Z6" s="58">
        <v>20</v>
      </c>
      <c r="AA6" s="59">
        <v>25</v>
      </c>
      <c r="AB6" s="59">
        <v>30</v>
      </c>
    </row>
    <row r="7" spans="2:28" ht="15" x14ac:dyDescent="0.25">
      <c r="B7" s="56" t="s">
        <v>51</v>
      </c>
      <c r="C7" s="60">
        <v>6.9744339622641558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P7" s="56" t="s">
        <v>51</v>
      </c>
      <c r="Q7" s="60">
        <v>6.9744339622641558</v>
      </c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</row>
    <row r="8" spans="2:28" ht="15" x14ac:dyDescent="0.25">
      <c r="B8" s="56" t="s">
        <v>52</v>
      </c>
      <c r="C8" s="60">
        <v>22.197641509433964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P8" s="56" t="s">
        <v>52</v>
      </c>
      <c r="Q8" s="60">
        <v>22.197641509433964</v>
      </c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</row>
    <row r="9" spans="2:28" ht="15" x14ac:dyDescent="0.25">
      <c r="B9" s="56" t="s">
        <v>53</v>
      </c>
      <c r="C9" s="60">
        <v>20.930283018867922</v>
      </c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P9" s="56" t="s">
        <v>53</v>
      </c>
      <c r="Q9" s="60">
        <v>20.930283018867922</v>
      </c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</row>
    <row r="10" spans="2:28" ht="15" x14ac:dyDescent="0.25">
      <c r="B10" s="56" t="s">
        <v>54</v>
      </c>
      <c r="C10" s="60">
        <v>21.240754716981122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P10" s="56" t="s">
        <v>54</v>
      </c>
      <c r="Q10" s="60">
        <v>21.240754716981122</v>
      </c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</row>
    <row r="11" spans="2:28" ht="15" x14ac:dyDescent="0.25">
      <c r="B11" s="56" t="s">
        <v>55</v>
      </c>
      <c r="C11" s="60">
        <v>8.1746226415094334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P11" s="56" t="s">
        <v>55</v>
      </c>
      <c r="Q11" s="60">
        <v>8.1746226415094334</v>
      </c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</row>
    <row r="12" spans="2:28" ht="15" x14ac:dyDescent="0.25">
      <c r="B12" s="56" t="s">
        <v>56</v>
      </c>
      <c r="C12" s="60">
        <v>0.85367924528301853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P12" s="56" t="s">
        <v>56</v>
      </c>
      <c r="Q12" s="60">
        <v>0.85367924528301853</v>
      </c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</row>
    <row r="13" spans="2:28" ht="15" x14ac:dyDescent="0.25">
      <c r="B13" s="56" t="s">
        <v>57</v>
      </c>
      <c r="C13" s="60">
        <v>28.465566037735837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P13" s="56" t="s">
        <v>57</v>
      </c>
      <c r="Q13" s="60">
        <v>28.465566037735837</v>
      </c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</row>
    <row r="14" spans="2:28" ht="15" x14ac:dyDescent="0.25">
      <c r="B14" s="56" t="s">
        <v>58</v>
      </c>
      <c r="C14" s="60">
        <v>13.674339622641508</v>
      </c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P14" s="56" t="s">
        <v>58</v>
      </c>
      <c r="Q14" s="60">
        <v>13.674339622641508</v>
      </c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</row>
    <row r="15" spans="2:28" ht="15" x14ac:dyDescent="0.25">
      <c r="B15" s="56" t="s">
        <v>59</v>
      </c>
      <c r="C15" s="60">
        <v>6.4090566037735819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P15" s="56" t="s">
        <v>59</v>
      </c>
      <c r="Q15" s="60">
        <v>6.4090566037735819</v>
      </c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</row>
    <row r="16" spans="2:28" ht="15" x14ac:dyDescent="0.25">
      <c r="B16" s="62" t="s">
        <v>60</v>
      </c>
      <c r="C16" s="60">
        <v>1.9238679245283021</v>
      </c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P16" s="62" t="s">
        <v>60</v>
      </c>
      <c r="Q16" s="60">
        <v>1.9238679245283021</v>
      </c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</row>
  </sheetData>
  <mergeCells count="6">
    <mergeCell ref="B1:Y1"/>
    <mergeCell ref="Z1:AA1"/>
    <mergeCell ref="B3:L3"/>
    <mergeCell ref="R3:AA3"/>
    <mergeCell ref="B5:M5"/>
    <mergeCell ref="P5:AB5"/>
  </mergeCells>
  <conditionalFormatting sqref="D13:N16">
    <cfRule type="cellIs" dxfId="16" priority="16" stopIfTrue="1" operator="lessThanOrEqual">
      <formula>0.5</formula>
    </cfRule>
    <cfRule type="cellIs" dxfId="15" priority="17" stopIfTrue="1" operator="greaterThan">
      <formula>0.94</formula>
    </cfRule>
    <cfRule type="cellIs" dxfId="14" priority="18" stopIfTrue="1" operator="greaterThan">
      <formula>0.84</formula>
    </cfRule>
    <cfRule type="cellIs" dxfId="13" priority="19" stopIfTrue="1" operator="greaterThan">
      <formula>0.5</formula>
    </cfRule>
  </conditionalFormatting>
  <conditionalFormatting sqref="D7:N16">
    <cfRule type="cellIs" dxfId="12" priority="12" stopIfTrue="1" operator="lessThanOrEqual">
      <formula>0.5</formula>
    </cfRule>
    <cfRule type="cellIs" dxfId="11" priority="13" stopIfTrue="1" operator="greaterThan">
      <formula>0.94</formula>
    </cfRule>
    <cfRule type="cellIs" dxfId="10" priority="14" stopIfTrue="1" operator="greaterThan">
      <formula>0.84</formula>
    </cfRule>
    <cfRule type="cellIs" dxfId="9" priority="15" stopIfTrue="1" operator="greaterThan">
      <formula>0.5</formula>
    </cfRule>
  </conditionalFormatting>
  <conditionalFormatting sqref="D7:N12">
    <cfRule type="cellIs" dxfId="8" priority="7" stopIfTrue="1" operator="lessThanOrEqual">
      <formula>0.5</formula>
    </cfRule>
    <cfRule type="cellIs" dxfId="7" priority="8" stopIfTrue="1" operator="greaterThan">
      <formula>0.945</formula>
    </cfRule>
    <cfRule type="cellIs" dxfId="6" priority="10" stopIfTrue="1" operator="greaterThan">
      <formula>0.84</formula>
    </cfRule>
    <cfRule type="cellIs" dxfId="5" priority="11" stopIfTrue="1" operator="greaterThan">
      <formula>0.5</formula>
    </cfRule>
  </conditionalFormatting>
  <conditionalFormatting sqref="D7:N16">
    <cfRule type="cellIs" priority="1" stopIfTrue="1" operator="equal">
      <formula>""</formula>
    </cfRule>
  </conditionalFormatting>
  <conditionalFormatting sqref="R7:AB16">
    <cfRule type="cellIs" dxfId="4" priority="3" stopIfTrue="1" operator="lessThanOrEqual">
      <formula>0.5</formula>
    </cfRule>
    <cfRule type="cellIs" dxfId="3" priority="4" stopIfTrue="1" operator="greaterThan">
      <formula>0.94</formula>
    </cfRule>
    <cfRule type="cellIs" dxfId="2" priority="5" stopIfTrue="1" operator="greaterThan">
      <formula>0.84</formula>
    </cfRule>
    <cfRule type="cellIs" dxfId="1" priority="6" stopIfTrue="1" operator="greaterThan">
      <formula>0.5</formula>
    </cfRule>
  </conditionalFormatting>
  <conditionalFormatting sqref="R7:AB16">
    <cfRule type="cellIs" priority="2" stopIfTrue="1" operator="equal">
      <formula>""</formula>
    </cfRule>
  </conditionalFormatting>
  <conditionalFormatting sqref="D7:N12">
    <cfRule type="cellIs" dxfId="0" priority="9" stopIfTrue="1" operator="greaterThan">
      <formula>0.899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920"/>
  <sheetViews>
    <sheetView zoomScale="80" zoomScaleNormal="80" workbookViewId="0">
      <selection activeCell="Q6" sqref="Q6"/>
    </sheetView>
  </sheetViews>
  <sheetFormatPr defaultColWidth="11.375" defaultRowHeight="14.25" x14ac:dyDescent="0.2"/>
  <cols>
    <col min="2" max="2" width="57.75" customWidth="1"/>
    <col min="4" max="4" width="8.5" customWidth="1"/>
    <col min="6" max="6" width="12.5" customWidth="1"/>
    <col min="7" max="7" width="13.25" customWidth="1"/>
    <col min="8" max="8" width="32.75" customWidth="1"/>
    <col min="11" max="11" width="11.75" customWidth="1"/>
    <col min="12" max="13" width="13.375" customWidth="1"/>
    <col min="17" max="17" width="15.5" customWidth="1"/>
    <col min="18" max="18" width="11.75" customWidth="1"/>
  </cols>
  <sheetData>
    <row r="1" spans="2:19" ht="15" thickBot="1" x14ac:dyDescent="0.25"/>
    <row r="2" spans="2:19" ht="27" customHeight="1" thickTop="1" thickBot="1" x14ac:dyDescent="0.25">
      <c r="J2" s="137" t="s">
        <v>1</v>
      </c>
      <c r="K2" s="138"/>
      <c r="L2" s="138"/>
      <c r="M2" s="138"/>
      <c r="N2" s="138"/>
      <c r="O2" s="138"/>
      <c r="P2" s="138"/>
      <c r="Q2" s="138"/>
      <c r="R2" s="138"/>
      <c r="S2" s="139"/>
    </row>
    <row r="3" spans="2:19" ht="45.75" customHeight="1" thickBot="1" x14ac:dyDescent="0.25">
      <c r="B3" s="2" t="s">
        <v>5</v>
      </c>
      <c r="C3" s="2" t="s">
        <v>14</v>
      </c>
      <c r="D3" s="2" t="s">
        <v>6</v>
      </c>
      <c r="E3" s="2" t="s">
        <v>3</v>
      </c>
      <c r="F3" s="2" t="s">
        <v>7</v>
      </c>
      <c r="G3" s="2" t="s">
        <v>4</v>
      </c>
      <c r="H3" s="2" t="s">
        <v>8</v>
      </c>
      <c r="I3" s="2" t="s">
        <v>2</v>
      </c>
      <c r="J3" s="51" t="s">
        <v>9</v>
      </c>
      <c r="K3" s="48" t="s">
        <v>10</v>
      </c>
      <c r="L3" s="49" t="s">
        <v>11</v>
      </c>
      <c r="M3" s="48" t="s">
        <v>61</v>
      </c>
      <c r="N3" s="48" t="s">
        <v>62</v>
      </c>
      <c r="O3" s="48" t="s">
        <v>63</v>
      </c>
      <c r="P3" s="48" t="s">
        <v>64</v>
      </c>
      <c r="Q3" s="66" t="s">
        <v>65</v>
      </c>
      <c r="R3" s="48" t="s">
        <v>70</v>
      </c>
      <c r="S3" s="50" t="s">
        <v>0</v>
      </c>
    </row>
    <row r="4" spans="2:19" ht="35.1" customHeight="1" thickTop="1" thickBot="1" x14ac:dyDescent="0.25">
      <c r="B4" s="38"/>
      <c r="C4" s="38"/>
      <c r="D4" s="38"/>
      <c r="E4" s="38"/>
      <c r="F4" s="38"/>
      <c r="G4" s="38"/>
      <c r="H4" s="38"/>
      <c r="I4" s="38"/>
      <c r="J4" s="39"/>
      <c r="K4" s="40"/>
      <c r="L4" s="39"/>
      <c r="M4" s="39"/>
      <c r="N4" s="40"/>
      <c r="O4" s="40"/>
      <c r="P4" s="40"/>
      <c r="Q4" s="40"/>
      <c r="R4" s="40"/>
      <c r="S4" s="3" t="e">
        <f>K4/J4</f>
        <v>#DIV/0!</v>
      </c>
    </row>
    <row r="5" spans="2:19" ht="35.1" customHeight="1" thickBot="1" x14ac:dyDescent="0.25">
      <c r="B5" s="41"/>
      <c r="C5" s="41"/>
      <c r="D5" s="41"/>
      <c r="E5" s="41"/>
      <c r="F5" s="41"/>
      <c r="G5" s="41"/>
      <c r="H5" s="41"/>
      <c r="I5" s="41"/>
      <c r="J5" s="42"/>
      <c r="K5" s="43"/>
      <c r="L5" s="42"/>
      <c r="M5" s="42"/>
      <c r="N5" s="43"/>
      <c r="O5" s="43"/>
      <c r="P5" s="43"/>
      <c r="Q5" s="43"/>
      <c r="R5" s="43"/>
      <c r="S5" s="3" t="e">
        <f t="shared" ref="S5:S68" si="0">K5/J5</f>
        <v>#DIV/0!</v>
      </c>
    </row>
    <row r="6" spans="2:19" ht="35.1" customHeight="1" thickBot="1" x14ac:dyDescent="0.25">
      <c r="B6" s="41"/>
      <c r="C6" s="41"/>
      <c r="D6" s="41"/>
      <c r="E6" s="41"/>
      <c r="F6" s="41"/>
      <c r="G6" s="41"/>
      <c r="H6" s="41"/>
      <c r="I6" s="41"/>
      <c r="J6" s="42"/>
      <c r="K6" s="43"/>
      <c r="L6" s="42"/>
      <c r="M6" s="42"/>
      <c r="N6" s="43"/>
      <c r="O6" s="43"/>
      <c r="P6" s="43"/>
      <c r="Q6" s="43"/>
      <c r="R6" s="43"/>
      <c r="S6" s="3" t="e">
        <f t="shared" si="0"/>
        <v>#DIV/0!</v>
      </c>
    </row>
    <row r="7" spans="2:19" ht="35.1" customHeight="1" thickBot="1" x14ac:dyDescent="0.25">
      <c r="B7" s="41"/>
      <c r="C7" s="41"/>
      <c r="D7" s="41"/>
      <c r="E7" s="41"/>
      <c r="F7" s="41"/>
      <c r="G7" s="41"/>
      <c r="H7" s="41"/>
      <c r="I7" s="41"/>
      <c r="J7" s="42"/>
      <c r="K7" s="43"/>
      <c r="L7" s="42"/>
      <c r="M7" s="42"/>
      <c r="N7" s="43"/>
      <c r="O7" s="43"/>
      <c r="P7" s="43"/>
      <c r="Q7" s="43"/>
      <c r="R7" s="43"/>
      <c r="S7" s="3" t="e">
        <f t="shared" si="0"/>
        <v>#DIV/0!</v>
      </c>
    </row>
    <row r="8" spans="2:19" ht="35.1" customHeight="1" thickBot="1" x14ac:dyDescent="0.25">
      <c r="B8" s="41"/>
      <c r="C8" s="41"/>
      <c r="D8" s="41"/>
      <c r="E8" s="41"/>
      <c r="F8" s="41"/>
      <c r="G8" s="41"/>
      <c r="H8" s="41"/>
      <c r="I8" s="41"/>
      <c r="J8" s="42"/>
      <c r="K8" s="43"/>
      <c r="L8" s="42"/>
      <c r="M8" s="42"/>
      <c r="N8" s="43"/>
      <c r="O8" s="43"/>
      <c r="P8" s="43"/>
      <c r="Q8" s="43"/>
      <c r="R8" s="43"/>
      <c r="S8" s="3" t="e">
        <f t="shared" si="0"/>
        <v>#DIV/0!</v>
      </c>
    </row>
    <row r="9" spans="2:19" ht="47.25" customHeight="1" thickBot="1" x14ac:dyDescent="0.25">
      <c r="B9" s="41"/>
      <c r="C9" s="41"/>
      <c r="D9" s="41"/>
      <c r="E9" s="41"/>
      <c r="F9" s="41"/>
      <c r="G9" s="41"/>
      <c r="H9" s="41"/>
      <c r="I9" s="41"/>
      <c r="J9" s="42"/>
      <c r="K9" s="43"/>
      <c r="L9" s="42"/>
      <c r="M9" s="42"/>
      <c r="N9" s="43"/>
      <c r="O9" s="43"/>
      <c r="P9" s="43"/>
      <c r="Q9" s="43"/>
      <c r="R9" s="43"/>
      <c r="S9" s="3" t="e">
        <f t="shared" si="0"/>
        <v>#DIV/0!</v>
      </c>
    </row>
    <row r="10" spans="2:19" ht="35.1" customHeight="1" thickBot="1" x14ac:dyDescent="0.25">
      <c r="B10" s="44"/>
      <c r="C10" s="44"/>
      <c r="D10" s="44"/>
      <c r="E10" s="44"/>
      <c r="F10" s="44"/>
      <c r="G10" s="44"/>
      <c r="H10" s="44"/>
      <c r="I10" s="44"/>
      <c r="J10" s="45"/>
      <c r="K10" s="46"/>
      <c r="L10" s="45"/>
      <c r="M10" s="45"/>
      <c r="N10" s="46"/>
      <c r="O10" s="46"/>
      <c r="P10" s="46"/>
      <c r="Q10" s="46"/>
      <c r="R10" s="46"/>
      <c r="S10" s="3" t="e">
        <f t="shared" si="0"/>
        <v>#DIV/0!</v>
      </c>
    </row>
    <row r="11" spans="2:19" ht="35.1" customHeight="1" thickTop="1" thickBot="1" x14ac:dyDescent="0.25">
      <c r="B11" s="38"/>
      <c r="C11" s="38"/>
      <c r="D11" s="38"/>
      <c r="E11" s="38"/>
      <c r="F11" s="38"/>
      <c r="G11" s="38"/>
      <c r="H11" s="38"/>
      <c r="I11" s="38"/>
      <c r="J11" s="39"/>
      <c r="K11" s="40"/>
      <c r="L11" s="39"/>
      <c r="M11" s="39"/>
      <c r="N11" s="40"/>
      <c r="O11" s="40"/>
      <c r="P11" s="40"/>
      <c r="Q11" s="40"/>
      <c r="R11" s="40"/>
      <c r="S11" s="3" t="e">
        <f t="shared" si="0"/>
        <v>#DIV/0!</v>
      </c>
    </row>
    <row r="12" spans="2:19" ht="35.1" customHeight="1" thickBot="1" x14ac:dyDescent="0.25">
      <c r="B12" s="41"/>
      <c r="C12" s="41"/>
      <c r="D12" s="41"/>
      <c r="E12" s="41"/>
      <c r="F12" s="41"/>
      <c r="G12" s="41"/>
      <c r="H12" s="41"/>
      <c r="I12" s="41"/>
      <c r="J12" s="42"/>
      <c r="K12" s="43"/>
      <c r="L12" s="42"/>
      <c r="M12" s="42"/>
      <c r="N12" s="43"/>
      <c r="O12" s="43"/>
      <c r="P12" s="43"/>
      <c r="Q12" s="43"/>
      <c r="R12" s="43"/>
      <c r="S12" s="3" t="e">
        <f t="shared" si="0"/>
        <v>#DIV/0!</v>
      </c>
    </row>
    <row r="13" spans="2:19" ht="35.1" customHeight="1" thickBot="1" x14ac:dyDescent="0.25">
      <c r="B13" s="41"/>
      <c r="C13" s="41"/>
      <c r="D13" s="41"/>
      <c r="E13" s="41"/>
      <c r="F13" s="41"/>
      <c r="G13" s="41"/>
      <c r="H13" s="41"/>
      <c r="I13" s="41"/>
      <c r="J13" s="42"/>
      <c r="K13" s="43"/>
      <c r="L13" s="42"/>
      <c r="M13" s="42"/>
      <c r="N13" s="43"/>
      <c r="O13" s="43"/>
      <c r="P13" s="43"/>
      <c r="Q13" s="43"/>
      <c r="R13" s="43"/>
      <c r="S13" s="3" t="e">
        <f t="shared" si="0"/>
        <v>#DIV/0!</v>
      </c>
    </row>
    <row r="14" spans="2:19" ht="34.5" customHeight="1" thickBot="1" x14ac:dyDescent="0.25">
      <c r="B14" s="41"/>
      <c r="C14" s="41"/>
      <c r="D14" s="41"/>
      <c r="E14" s="41"/>
      <c r="F14" s="41"/>
      <c r="G14" s="41"/>
      <c r="H14" s="41"/>
      <c r="I14" s="41"/>
      <c r="J14" s="42"/>
      <c r="K14" s="43"/>
      <c r="L14" s="42"/>
      <c r="M14" s="42"/>
      <c r="N14" s="43"/>
      <c r="O14" s="43"/>
      <c r="P14" s="43"/>
      <c r="Q14" s="43"/>
      <c r="R14" s="43"/>
      <c r="S14" s="3" t="e">
        <f t="shared" si="0"/>
        <v>#DIV/0!</v>
      </c>
    </row>
    <row r="15" spans="2:19" ht="35.1" customHeight="1" thickBot="1" x14ac:dyDescent="0.25">
      <c r="B15" s="41"/>
      <c r="C15" s="41"/>
      <c r="D15" s="41"/>
      <c r="E15" s="41"/>
      <c r="F15" s="41"/>
      <c r="G15" s="41"/>
      <c r="H15" s="41"/>
      <c r="I15" s="41"/>
      <c r="J15" s="42"/>
      <c r="K15" s="43"/>
      <c r="L15" s="42"/>
      <c r="M15" s="42"/>
      <c r="N15" s="43"/>
      <c r="O15" s="43"/>
      <c r="P15" s="43"/>
      <c r="Q15" s="43"/>
      <c r="R15" s="43"/>
      <c r="S15" s="3" t="e">
        <f t="shared" si="0"/>
        <v>#DIV/0!</v>
      </c>
    </row>
    <row r="16" spans="2:19" ht="35.1" customHeight="1" thickBot="1" x14ac:dyDescent="0.25">
      <c r="B16" s="41"/>
      <c r="C16" s="41"/>
      <c r="D16" s="41"/>
      <c r="E16" s="41"/>
      <c r="F16" s="41"/>
      <c r="G16" s="41"/>
      <c r="H16" s="41"/>
      <c r="I16" s="41"/>
      <c r="J16" s="42"/>
      <c r="K16" s="43"/>
      <c r="L16" s="42"/>
      <c r="M16" s="42"/>
      <c r="N16" s="43"/>
      <c r="O16" s="43"/>
      <c r="P16" s="43"/>
      <c r="Q16" s="43"/>
      <c r="R16" s="43"/>
      <c r="S16" s="3" t="e">
        <f t="shared" si="0"/>
        <v>#DIV/0!</v>
      </c>
    </row>
    <row r="17" spans="2:19" ht="35.1" customHeight="1" thickBot="1" x14ac:dyDescent="0.25">
      <c r="B17" s="44"/>
      <c r="C17" s="44"/>
      <c r="D17" s="44"/>
      <c r="E17" s="44"/>
      <c r="F17" s="44"/>
      <c r="G17" s="44"/>
      <c r="H17" s="44"/>
      <c r="I17" s="44"/>
      <c r="J17" s="45"/>
      <c r="K17" s="46"/>
      <c r="L17" s="45"/>
      <c r="M17" s="45"/>
      <c r="N17" s="46"/>
      <c r="O17" s="46"/>
      <c r="P17" s="46"/>
      <c r="Q17" s="46"/>
      <c r="R17" s="46"/>
      <c r="S17" s="3" t="e">
        <f t="shared" si="0"/>
        <v>#DIV/0!</v>
      </c>
    </row>
    <row r="18" spans="2:19" ht="35.1" customHeight="1" thickTop="1" thickBot="1" x14ac:dyDescent="0.25">
      <c r="B18" s="38"/>
      <c r="C18" s="38"/>
      <c r="D18" s="38"/>
      <c r="E18" s="38"/>
      <c r="F18" s="38"/>
      <c r="G18" s="38"/>
      <c r="H18" s="38"/>
      <c r="I18" s="38"/>
      <c r="J18" s="39"/>
      <c r="K18" s="40"/>
      <c r="L18" s="39"/>
      <c r="M18" s="39"/>
      <c r="N18" s="40"/>
      <c r="O18" s="40"/>
      <c r="P18" s="40"/>
      <c r="Q18" s="40"/>
      <c r="R18" s="40"/>
      <c r="S18" s="3" t="e">
        <f t="shared" si="0"/>
        <v>#DIV/0!</v>
      </c>
    </row>
    <row r="19" spans="2:19" ht="35.1" customHeight="1" thickBot="1" x14ac:dyDescent="0.25">
      <c r="B19" s="41"/>
      <c r="C19" s="41"/>
      <c r="D19" s="41"/>
      <c r="E19" s="41"/>
      <c r="F19" s="41"/>
      <c r="G19" s="41"/>
      <c r="H19" s="41"/>
      <c r="I19" s="41"/>
      <c r="J19" s="42"/>
      <c r="K19" s="43"/>
      <c r="L19" s="42"/>
      <c r="M19" s="42"/>
      <c r="N19" s="43"/>
      <c r="O19" s="43"/>
      <c r="P19" s="43"/>
      <c r="Q19" s="43"/>
      <c r="R19" s="43"/>
      <c r="S19" s="3" t="e">
        <f t="shared" si="0"/>
        <v>#DIV/0!</v>
      </c>
    </row>
    <row r="20" spans="2:19" ht="35.1" customHeight="1" thickBot="1" x14ac:dyDescent="0.25">
      <c r="B20" s="41"/>
      <c r="C20" s="41"/>
      <c r="D20" s="41"/>
      <c r="E20" s="41"/>
      <c r="F20" s="41"/>
      <c r="G20" s="41"/>
      <c r="H20" s="41"/>
      <c r="I20" s="41"/>
      <c r="J20" s="42"/>
      <c r="K20" s="43"/>
      <c r="L20" s="42"/>
      <c r="M20" s="42"/>
      <c r="N20" s="43"/>
      <c r="O20" s="43"/>
      <c r="P20" s="43"/>
      <c r="Q20" s="43"/>
      <c r="R20" s="43"/>
      <c r="S20" s="3" t="e">
        <f t="shared" si="0"/>
        <v>#DIV/0!</v>
      </c>
    </row>
    <row r="21" spans="2:19" ht="35.1" customHeight="1" thickBot="1" x14ac:dyDescent="0.25">
      <c r="B21" s="41"/>
      <c r="C21" s="41"/>
      <c r="D21" s="41"/>
      <c r="E21" s="41"/>
      <c r="F21" s="41"/>
      <c r="G21" s="41"/>
      <c r="H21" s="41"/>
      <c r="I21" s="41"/>
      <c r="J21" s="42"/>
      <c r="K21" s="43"/>
      <c r="L21" s="42"/>
      <c r="M21" s="42"/>
      <c r="N21" s="43"/>
      <c r="O21" s="43"/>
      <c r="P21" s="43"/>
      <c r="Q21" s="43"/>
      <c r="R21" s="43"/>
      <c r="S21" s="3" t="e">
        <f t="shared" si="0"/>
        <v>#DIV/0!</v>
      </c>
    </row>
    <row r="22" spans="2:19" ht="35.1" customHeight="1" thickBot="1" x14ac:dyDescent="0.25">
      <c r="B22" s="41"/>
      <c r="C22" s="41"/>
      <c r="D22" s="41"/>
      <c r="E22" s="41"/>
      <c r="F22" s="41"/>
      <c r="G22" s="41"/>
      <c r="H22" s="41"/>
      <c r="I22" s="41"/>
      <c r="J22" s="42"/>
      <c r="K22" s="43"/>
      <c r="L22" s="42"/>
      <c r="M22" s="42"/>
      <c r="N22" s="43"/>
      <c r="O22" s="43"/>
      <c r="P22" s="43"/>
      <c r="Q22" s="43"/>
      <c r="R22" s="43"/>
      <c r="S22" s="3" t="e">
        <f t="shared" si="0"/>
        <v>#DIV/0!</v>
      </c>
    </row>
    <row r="23" spans="2:19" ht="35.1" customHeight="1" thickBot="1" x14ac:dyDescent="0.25">
      <c r="B23" s="41"/>
      <c r="C23" s="41"/>
      <c r="D23" s="41"/>
      <c r="E23" s="41"/>
      <c r="F23" s="41"/>
      <c r="G23" s="41"/>
      <c r="H23" s="41"/>
      <c r="I23" s="41"/>
      <c r="J23" s="42"/>
      <c r="K23" s="43"/>
      <c r="L23" s="42"/>
      <c r="M23" s="42"/>
      <c r="N23" s="43"/>
      <c r="O23" s="43"/>
      <c r="P23" s="43"/>
      <c r="Q23" s="43"/>
      <c r="R23" s="43"/>
      <c r="S23" s="3" t="e">
        <f t="shared" si="0"/>
        <v>#DIV/0!</v>
      </c>
    </row>
    <row r="24" spans="2:19" ht="35.1" customHeight="1" thickBot="1" x14ac:dyDescent="0.25">
      <c r="B24" s="44"/>
      <c r="C24" s="44"/>
      <c r="D24" s="44"/>
      <c r="E24" s="44"/>
      <c r="F24" s="44"/>
      <c r="G24" s="44"/>
      <c r="H24" s="44"/>
      <c r="I24" s="44"/>
      <c r="J24" s="45"/>
      <c r="K24" s="46"/>
      <c r="L24" s="45"/>
      <c r="M24" s="45"/>
      <c r="N24" s="46"/>
      <c r="O24" s="46"/>
      <c r="P24" s="46"/>
      <c r="Q24" s="46"/>
      <c r="R24" s="46"/>
      <c r="S24" s="3" t="e">
        <f t="shared" si="0"/>
        <v>#DIV/0!</v>
      </c>
    </row>
    <row r="25" spans="2:19" ht="35.1" customHeight="1" thickTop="1" thickBot="1" x14ac:dyDescent="0.25">
      <c r="B25" s="38"/>
      <c r="C25" s="38"/>
      <c r="D25" s="38"/>
      <c r="E25" s="38"/>
      <c r="F25" s="38"/>
      <c r="G25" s="38"/>
      <c r="H25" s="38"/>
      <c r="I25" s="38"/>
      <c r="J25" s="39"/>
      <c r="K25" s="40"/>
      <c r="L25" s="39"/>
      <c r="M25" s="39"/>
      <c r="N25" s="40"/>
      <c r="O25" s="40"/>
      <c r="P25" s="40"/>
      <c r="Q25" s="40"/>
      <c r="R25" s="40"/>
      <c r="S25" s="3" t="e">
        <f t="shared" si="0"/>
        <v>#DIV/0!</v>
      </c>
    </row>
    <row r="26" spans="2:19" ht="35.1" customHeight="1" thickBot="1" x14ac:dyDescent="0.25">
      <c r="B26" s="41"/>
      <c r="C26" s="41"/>
      <c r="D26" s="41"/>
      <c r="E26" s="41"/>
      <c r="F26" s="41"/>
      <c r="G26" s="41"/>
      <c r="H26" s="41"/>
      <c r="I26" s="41"/>
      <c r="J26" s="42"/>
      <c r="K26" s="43"/>
      <c r="L26" s="42"/>
      <c r="M26" s="42"/>
      <c r="N26" s="43"/>
      <c r="O26" s="43"/>
      <c r="P26" s="43"/>
      <c r="Q26" s="43"/>
      <c r="R26" s="43"/>
      <c r="S26" s="3" t="e">
        <f t="shared" si="0"/>
        <v>#DIV/0!</v>
      </c>
    </row>
    <row r="27" spans="2:19" ht="35.1" customHeight="1" thickBot="1" x14ac:dyDescent="0.25">
      <c r="B27" s="41"/>
      <c r="C27" s="41"/>
      <c r="D27" s="41"/>
      <c r="E27" s="41"/>
      <c r="F27" s="41"/>
      <c r="G27" s="41"/>
      <c r="H27" s="41"/>
      <c r="I27" s="41"/>
      <c r="J27" s="42"/>
      <c r="K27" s="43"/>
      <c r="L27" s="42"/>
      <c r="M27" s="42"/>
      <c r="N27" s="43"/>
      <c r="O27" s="43"/>
      <c r="P27" s="43"/>
      <c r="Q27" s="43"/>
      <c r="R27" s="43"/>
      <c r="S27" s="3" t="e">
        <f t="shared" si="0"/>
        <v>#DIV/0!</v>
      </c>
    </row>
    <row r="28" spans="2:19" ht="35.1" customHeight="1" thickBot="1" x14ac:dyDescent="0.25">
      <c r="B28" s="41"/>
      <c r="C28" s="41"/>
      <c r="D28" s="41"/>
      <c r="E28" s="41"/>
      <c r="F28" s="41"/>
      <c r="G28" s="41"/>
      <c r="H28" s="41"/>
      <c r="I28" s="41"/>
      <c r="J28" s="42"/>
      <c r="K28" s="43"/>
      <c r="L28" s="42"/>
      <c r="M28" s="42"/>
      <c r="N28" s="43"/>
      <c r="O28" s="43"/>
      <c r="P28" s="43"/>
      <c r="Q28" s="43"/>
      <c r="R28" s="43"/>
      <c r="S28" s="3" t="e">
        <f t="shared" si="0"/>
        <v>#DIV/0!</v>
      </c>
    </row>
    <row r="29" spans="2:19" ht="35.1" customHeight="1" thickBot="1" x14ac:dyDescent="0.25">
      <c r="B29" s="41"/>
      <c r="C29" s="41"/>
      <c r="D29" s="41"/>
      <c r="E29" s="41"/>
      <c r="F29" s="41"/>
      <c r="G29" s="41"/>
      <c r="H29" s="41"/>
      <c r="I29" s="41"/>
      <c r="J29" s="42"/>
      <c r="K29" s="43"/>
      <c r="L29" s="42"/>
      <c r="M29" s="42"/>
      <c r="N29" s="43"/>
      <c r="O29" s="43"/>
      <c r="P29" s="43"/>
      <c r="Q29" s="43"/>
      <c r="R29" s="43"/>
      <c r="S29" s="3" t="e">
        <f t="shared" si="0"/>
        <v>#DIV/0!</v>
      </c>
    </row>
    <row r="30" spans="2:19" ht="35.1" customHeight="1" thickBot="1" x14ac:dyDescent="0.25">
      <c r="B30" s="41"/>
      <c r="C30" s="41"/>
      <c r="D30" s="41"/>
      <c r="E30" s="41"/>
      <c r="F30" s="41"/>
      <c r="G30" s="41"/>
      <c r="H30" s="41"/>
      <c r="I30" s="41"/>
      <c r="J30" s="42"/>
      <c r="K30" s="43"/>
      <c r="L30" s="42"/>
      <c r="M30" s="42"/>
      <c r="N30" s="43"/>
      <c r="O30" s="43"/>
      <c r="P30" s="43"/>
      <c r="Q30" s="43"/>
      <c r="R30" s="43"/>
      <c r="S30" s="3" t="e">
        <f t="shared" si="0"/>
        <v>#DIV/0!</v>
      </c>
    </row>
    <row r="31" spans="2:19" ht="35.1" customHeight="1" thickBot="1" x14ac:dyDescent="0.25">
      <c r="B31" s="44"/>
      <c r="C31" s="44"/>
      <c r="D31" s="44"/>
      <c r="E31" s="44"/>
      <c r="F31" s="44"/>
      <c r="G31" s="44"/>
      <c r="H31" s="44"/>
      <c r="I31" s="44"/>
      <c r="J31" s="45"/>
      <c r="K31" s="46"/>
      <c r="L31" s="45"/>
      <c r="M31" s="45"/>
      <c r="N31" s="46"/>
      <c r="O31" s="46"/>
      <c r="P31" s="46"/>
      <c r="Q31" s="46"/>
      <c r="R31" s="46"/>
      <c r="S31" s="3" t="e">
        <f t="shared" si="0"/>
        <v>#DIV/0!</v>
      </c>
    </row>
    <row r="32" spans="2:19" ht="59.25" customHeight="1" thickTop="1" thickBot="1" x14ac:dyDescent="0.25">
      <c r="B32" s="38"/>
      <c r="C32" s="38"/>
      <c r="D32" s="38"/>
      <c r="E32" s="38"/>
      <c r="F32" s="38"/>
      <c r="G32" s="38"/>
      <c r="H32" s="38"/>
      <c r="I32" s="38"/>
      <c r="J32" s="39"/>
      <c r="K32" s="40"/>
      <c r="L32" s="39"/>
      <c r="M32" s="39"/>
      <c r="N32" s="40"/>
      <c r="O32" s="40"/>
      <c r="P32" s="40"/>
      <c r="Q32" s="40"/>
      <c r="R32" s="40"/>
      <c r="S32" s="3" t="e">
        <f t="shared" si="0"/>
        <v>#DIV/0!</v>
      </c>
    </row>
    <row r="33" spans="2:19" ht="35.1" customHeight="1" thickBot="1" x14ac:dyDescent="0.25">
      <c r="B33" s="41"/>
      <c r="C33" s="41"/>
      <c r="D33" s="41"/>
      <c r="E33" s="41"/>
      <c r="F33" s="41"/>
      <c r="G33" s="41"/>
      <c r="H33" s="41"/>
      <c r="I33" s="41"/>
      <c r="J33" s="42"/>
      <c r="K33" s="43"/>
      <c r="L33" s="42"/>
      <c r="M33" s="42"/>
      <c r="N33" s="43"/>
      <c r="O33" s="43"/>
      <c r="P33" s="43"/>
      <c r="Q33" s="43"/>
      <c r="R33" s="43"/>
      <c r="S33" s="3" t="e">
        <f t="shared" si="0"/>
        <v>#DIV/0!</v>
      </c>
    </row>
    <row r="34" spans="2:19" ht="35.1" customHeight="1" thickBot="1" x14ac:dyDescent="0.25">
      <c r="B34" s="41"/>
      <c r="C34" s="41"/>
      <c r="D34" s="41"/>
      <c r="E34" s="41"/>
      <c r="F34" s="41"/>
      <c r="G34" s="41"/>
      <c r="H34" s="41"/>
      <c r="I34" s="41"/>
      <c r="J34" s="42"/>
      <c r="K34" s="43"/>
      <c r="L34" s="42"/>
      <c r="M34" s="42"/>
      <c r="N34" s="43"/>
      <c r="O34" s="43"/>
      <c r="P34" s="43"/>
      <c r="Q34" s="43"/>
      <c r="R34" s="43"/>
      <c r="S34" s="3" t="e">
        <f t="shared" si="0"/>
        <v>#DIV/0!</v>
      </c>
    </row>
    <row r="35" spans="2:19" ht="35.1" customHeight="1" thickBot="1" x14ac:dyDescent="0.25">
      <c r="B35" s="41"/>
      <c r="C35" s="41"/>
      <c r="D35" s="41"/>
      <c r="E35" s="41"/>
      <c r="F35" s="41"/>
      <c r="G35" s="41"/>
      <c r="H35" s="41"/>
      <c r="I35" s="41"/>
      <c r="J35" s="42"/>
      <c r="K35" s="43"/>
      <c r="L35" s="42"/>
      <c r="M35" s="42"/>
      <c r="N35" s="43"/>
      <c r="O35" s="43"/>
      <c r="P35" s="43"/>
      <c r="Q35" s="43"/>
      <c r="R35" s="43"/>
      <c r="S35" s="3" t="e">
        <f t="shared" si="0"/>
        <v>#DIV/0!</v>
      </c>
    </row>
    <row r="36" spans="2:19" ht="35.1" customHeight="1" thickBot="1" x14ac:dyDescent="0.25">
      <c r="B36" s="41"/>
      <c r="C36" s="41"/>
      <c r="D36" s="41"/>
      <c r="E36" s="41"/>
      <c r="F36" s="41"/>
      <c r="G36" s="41"/>
      <c r="H36" s="41"/>
      <c r="I36" s="41"/>
      <c r="J36" s="42"/>
      <c r="K36" s="43"/>
      <c r="L36" s="42"/>
      <c r="M36" s="42"/>
      <c r="N36" s="43"/>
      <c r="O36" s="43"/>
      <c r="P36" s="43"/>
      <c r="Q36" s="43"/>
      <c r="R36" s="43"/>
      <c r="S36" s="3" t="e">
        <f t="shared" si="0"/>
        <v>#DIV/0!</v>
      </c>
    </row>
    <row r="37" spans="2:19" ht="35.1" customHeight="1" thickBot="1" x14ac:dyDescent="0.25">
      <c r="B37" s="41"/>
      <c r="C37" s="41"/>
      <c r="D37" s="41"/>
      <c r="E37" s="41"/>
      <c r="F37" s="41"/>
      <c r="G37" s="41"/>
      <c r="H37" s="41"/>
      <c r="I37" s="41"/>
      <c r="J37" s="42"/>
      <c r="K37" s="43"/>
      <c r="L37" s="42"/>
      <c r="M37" s="42"/>
      <c r="N37" s="43"/>
      <c r="O37" s="43"/>
      <c r="P37" s="43"/>
      <c r="Q37" s="43"/>
      <c r="R37" s="43"/>
      <c r="S37" s="3" t="e">
        <f t="shared" si="0"/>
        <v>#DIV/0!</v>
      </c>
    </row>
    <row r="38" spans="2:19" ht="58.5" customHeight="1" thickBot="1" x14ac:dyDescent="0.25">
      <c r="B38" s="44"/>
      <c r="C38" s="44"/>
      <c r="D38" s="44"/>
      <c r="E38" s="44"/>
      <c r="F38" s="44"/>
      <c r="G38" s="44"/>
      <c r="H38" s="44"/>
      <c r="I38" s="44"/>
      <c r="J38" s="45"/>
      <c r="K38" s="46"/>
      <c r="L38" s="45"/>
      <c r="M38" s="45"/>
      <c r="N38" s="46"/>
      <c r="O38" s="46"/>
      <c r="P38" s="46"/>
      <c r="Q38" s="46"/>
      <c r="R38" s="46"/>
      <c r="S38" s="3" t="e">
        <f t="shared" si="0"/>
        <v>#DIV/0!</v>
      </c>
    </row>
    <row r="39" spans="2:19" ht="35.1" customHeight="1" thickTop="1" thickBot="1" x14ac:dyDescent="0.25">
      <c r="B39" s="38"/>
      <c r="C39" s="38"/>
      <c r="D39" s="38"/>
      <c r="E39" s="38"/>
      <c r="F39" s="38"/>
      <c r="G39" s="38"/>
      <c r="H39" s="38"/>
      <c r="I39" s="38"/>
      <c r="J39" s="39"/>
      <c r="K39" s="40"/>
      <c r="L39" s="39"/>
      <c r="M39" s="39"/>
      <c r="N39" s="40"/>
      <c r="O39" s="40"/>
      <c r="P39" s="40"/>
      <c r="Q39" s="40"/>
      <c r="R39" s="40"/>
      <c r="S39" s="3" t="e">
        <f t="shared" si="0"/>
        <v>#DIV/0!</v>
      </c>
    </row>
    <row r="40" spans="2:19" ht="35.1" customHeight="1" thickBot="1" x14ac:dyDescent="0.25">
      <c r="B40" s="41"/>
      <c r="C40" s="41"/>
      <c r="D40" s="41"/>
      <c r="E40" s="41"/>
      <c r="F40" s="41"/>
      <c r="G40" s="41"/>
      <c r="H40" s="41"/>
      <c r="I40" s="41"/>
      <c r="J40" s="42"/>
      <c r="K40" s="43"/>
      <c r="L40" s="42"/>
      <c r="M40" s="42"/>
      <c r="N40" s="43"/>
      <c r="O40" s="43"/>
      <c r="P40" s="43"/>
      <c r="Q40" s="43"/>
      <c r="R40" s="43"/>
      <c r="S40" s="3" t="e">
        <f t="shared" si="0"/>
        <v>#DIV/0!</v>
      </c>
    </row>
    <row r="41" spans="2:19" ht="35.1" customHeight="1" thickBot="1" x14ac:dyDescent="0.25">
      <c r="B41" s="41"/>
      <c r="C41" s="41"/>
      <c r="D41" s="41"/>
      <c r="E41" s="41"/>
      <c r="F41" s="41"/>
      <c r="G41" s="41"/>
      <c r="H41" s="41"/>
      <c r="I41" s="41"/>
      <c r="J41" s="42"/>
      <c r="K41" s="43"/>
      <c r="L41" s="42"/>
      <c r="M41" s="42"/>
      <c r="N41" s="43"/>
      <c r="O41" s="43"/>
      <c r="P41" s="43"/>
      <c r="Q41" s="43"/>
      <c r="R41" s="43"/>
      <c r="S41" s="3" t="e">
        <f t="shared" si="0"/>
        <v>#DIV/0!</v>
      </c>
    </row>
    <row r="42" spans="2:19" ht="35.1" customHeight="1" thickBot="1" x14ac:dyDescent="0.25">
      <c r="B42" s="41"/>
      <c r="C42" s="41"/>
      <c r="D42" s="41"/>
      <c r="E42" s="41"/>
      <c r="F42" s="41"/>
      <c r="G42" s="41"/>
      <c r="H42" s="41"/>
      <c r="I42" s="41"/>
      <c r="J42" s="42"/>
      <c r="K42" s="43"/>
      <c r="L42" s="42"/>
      <c r="M42" s="42"/>
      <c r="N42" s="43"/>
      <c r="O42" s="43"/>
      <c r="P42" s="43"/>
      <c r="Q42" s="43"/>
      <c r="R42" s="43"/>
      <c r="S42" s="3" t="e">
        <f t="shared" si="0"/>
        <v>#DIV/0!</v>
      </c>
    </row>
    <row r="43" spans="2:19" ht="35.1" customHeight="1" thickBot="1" x14ac:dyDescent="0.25">
      <c r="B43" s="41"/>
      <c r="C43" s="41"/>
      <c r="D43" s="41"/>
      <c r="E43" s="41"/>
      <c r="F43" s="41"/>
      <c r="G43" s="41"/>
      <c r="H43" s="41"/>
      <c r="I43" s="41"/>
      <c r="J43" s="42"/>
      <c r="K43" s="43"/>
      <c r="L43" s="42"/>
      <c r="M43" s="42"/>
      <c r="N43" s="43"/>
      <c r="O43" s="43"/>
      <c r="P43" s="43"/>
      <c r="Q43" s="43"/>
      <c r="R43" s="43"/>
      <c r="S43" s="3" t="e">
        <f t="shared" si="0"/>
        <v>#DIV/0!</v>
      </c>
    </row>
    <row r="44" spans="2:19" ht="35.1" customHeight="1" thickBot="1" x14ac:dyDescent="0.25">
      <c r="B44" s="41"/>
      <c r="C44" s="41"/>
      <c r="D44" s="41"/>
      <c r="E44" s="41"/>
      <c r="F44" s="41"/>
      <c r="G44" s="41"/>
      <c r="H44" s="41"/>
      <c r="I44" s="41"/>
      <c r="J44" s="42"/>
      <c r="K44" s="43"/>
      <c r="L44" s="42"/>
      <c r="M44" s="42"/>
      <c r="N44" s="43"/>
      <c r="O44" s="43"/>
      <c r="P44" s="43"/>
      <c r="Q44" s="43"/>
      <c r="R44" s="43"/>
      <c r="S44" s="3" t="e">
        <f t="shared" si="0"/>
        <v>#DIV/0!</v>
      </c>
    </row>
    <row r="45" spans="2:19" ht="35.1" customHeight="1" thickBot="1" x14ac:dyDescent="0.25">
      <c r="B45" s="44"/>
      <c r="C45" s="44"/>
      <c r="D45" s="44"/>
      <c r="E45" s="44"/>
      <c r="F45" s="44"/>
      <c r="G45" s="44"/>
      <c r="H45" s="44"/>
      <c r="I45" s="44"/>
      <c r="J45" s="45"/>
      <c r="K45" s="46"/>
      <c r="L45" s="45"/>
      <c r="M45" s="45"/>
      <c r="N45" s="46"/>
      <c r="O45" s="46"/>
      <c r="P45" s="46"/>
      <c r="Q45" s="46"/>
      <c r="R45" s="46"/>
      <c r="S45" s="3" t="e">
        <f t="shared" si="0"/>
        <v>#DIV/0!</v>
      </c>
    </row>
    <row r="46" spans="2:19" ht="35.1" customHeight="1" thickTop="1" thickBot="1" x14ac:dyDescent="0.25">
      <c r="B46" s="38"/>
      <c r="C46" s="38"/>
      <c r="D46" s="38"/>
      <c r="E46" s="38"/>
      <c r="F46" s="38"/>
      <c r="G46" s="38"/>
      <c r="H46" s="38"/>
      <c r="I46" s="38"/>
      <c r="J46" s="39"/>
      <c r="K46" s="40"/>
      <c r="L46" s="39"/>
      <c r="M46" s="39"/>
      <c r="N46" s="40"/>
      <c r="O46" s="40"/>
      <c r="P46" s="40"/>
      <c r="Q46" s="40"/>
      <c r="R46" s="40"/>
      <c r="S46" s="3" t="e">
        <f t="shared" si="0"/>
        <v>#DIV/0!</v>
      </c>
    </row>
    <row r="47" spans="2:19" ht="35.1" customHeight="1" thickBot="1" x14ac:dyDescent="0.25">
      <c r="B47" s="41"/>
      <c r="C47" s="41"/>
      <c r="D47" s="41"/>
      <c r="E47" s="41"/>
      <c r="F47" s="41"/>
      <c r="G47" s="41"/>
      <c r="H47" s="41"/>
      <c r="I47" s="41"/>
      <c r="J47" s="42"/>
      <c r="K47" s="43"/>
      <c r="L47" s="42"/>
      <c r="M47" s="42"/>
      <c r="N47" s="43"/>
      <c r="O47" s="43"/>
      <c r="P47" s="43"/>
      <c r="Q47" s="43"/>
      <c r="R47" s="43"/>
      <c r="S47" s="3" t="e">
        <f t="shared" si="0"/>
        <v>#DIV/0!</v>
      </c>
    </row>
    <row r="48" spans="2:19" ht="35.1" customHeight="1" thickBot="1" x14ac:dyDescent="0.25">
      <c r="B48" s="41"/>
      <c r="C48" s="41"/>
      <c r="D48" s="41"/>
      <c r="E48" s="41"/>
      <c r="F48" s="41"/>
      <c r="G48" s="41"/>
      <c r="H48" s="41"/>
      <c r="I48" s="41"/>
      <c r="J48" s="42"/>
      <c r="K48" s="43"/>
      <c r="L48" s="42"/>
      <c r="M48" s="42"/>
      <c r="N48" s="43"/>
      <c r="O48" s="43"/>
      <c r="P48" s="43"/>
      <c r="Q48" s="43"/>
      <c r="R48" s="43"/>
      <c r="S48" s="3" t="e">
        <f t="shared" si="0"/>
        <v>#DIV/0!</v>
      </c>
    </row>
    <row r="49" spans="2:19" ht="35.1" customHeight="1" thickBot="1" x14ac:dyDescent="0.25">
      <c r="B49" s="41"/>
      <c r="C49" s="41"/>
      <c r="D49" s="41"/>
      <c r="E49" s="41"/>
      <c r="F49" s="41"/>
      <c r="G49" s="41"/>
      <c r="H49" s="41"/>
      <c r="I49" s="41"/>
      <c r="J49" s="42"/>
      <c r="K49" s="43"/>
      <c r="L49" s="42"/>
      <c r="M49" s="42"/>
      <c r="N49" s="43"/>
      <c r="O49" s="43"/>
      <c r="P49" s="43"/>
      <c r="Q49" s="43"/>
      <c r="R49" s="43"/>
      <c r="S49" s="3" t="e">
        <f t="shared" si="0"/>
        <v>#DIV/0!</v>
      </c>
    </row>
    <row r="50" spans="2:19" ht="35.1" customHeight="1" thickBot="1" x14ac:dyDescent="0.25">
      <c r="B50" s="41"/>
      <c r="C50" s="41"/>
      <c r="D50" s="41"/>
      <c r="E50" s="41"/>
      <c r="F50" s="41"/>
      <c r="G50" s="41"/>
      <c r="H50" s="41"/>
      <c r="I50" s="41"/>
      <c r="J50" s="42"/>
      <c r="K50" s="43"/>
      <c r="L50" s="42"/>
      <c r="M50" s="42"/>
      <c r="N50" s="43"/>
      <c r="O50" s="43"/>
      <c r="P50" s="43"/>
      <c r="Q50" s="43"/>
      <c r="R50" s="43"/>
      <c r="S50" s="3" t="e">
        <f t="shared" si="0"/>
        <v>#DIV/0!</v>
      </c>
    </row>
    <row r="51" spans="2:19" ht="35.1" customHeight="1" thickBot="1" x14ac:dyDescent="0.25">
      <c r="B51" s="41"/>
      <c r="C51" s="41"/>
      <c r="D51" s="41"/>
      <c r="E51" s="41"/>
      <c r="F51" s="41"/>
      <c r="G51" s="41"/>
      <c r="H51" s="41"/>
      <c r="I51" s="41"/>
      <c r="J51" s="42"/>
      <c r="K51" s="43"/>
      <c r="L51" s="42"/>
      <c r="M51" s="42"/>
      <c r="N51" s="43"/>
      <c r="O51" s="43"/>
      <c r="P51" s="43"/>
      <c r="Q51" s="43"/>
      <c r="R51" s="43"/>
      <c r="S51" s="3" t="e">
        <f t="shared" si="0"/>
        <v>#DIV/0!</v>
      </c>
    </row>
    <row r="52" spans="2:19" ht="35.1" customHeight="1" thickBot="1" x14ac:dyDescent="0.25">
      <c r="B52" s="44"/>
      <c r="C52" s="44"/>
      <c r="D52" s="44"/>
      <c r="E52" s="44"/>
      <c r="F52" s="44"/>
      <c r="G52" s="44"/>
      <c r="H52" s="44"/>
      <c r="I52" s="44"/>
      <c r="J52" s="45"/>
      <c r="K52" s="46"/>
      <c r="L52" s="45"/>
      <c r="M52" s="45"/>
      <c r="N52" s="46"/>
      <c r="O52" s="46"/>
      <c r="P52" s="46"/>
      <c r="Q52" s="46"/>
      <c r="R52" s="46"/>
      <c r="S52" s="3" t="e">
        <f t="shared" si="0"/>
        <v>#DIV/0!</v>
      </c>
    </row>
    <row r="53" spans="2:19" ht="35.1" customHeight="1" thickTop="1" thickBot="1" x14ac:dyDescent="0.25">
      <c r="B53" s="38"/>
      <c r="C53" s="38"/>
      <c r="D53" s="38"/>
      <c r="E53" s="38"/>
      <c r="F53" s="38"/>
      <c r="G53" s="38"/>
      <c r="H53" s="38"/>
      <c r="I53" s="38"/>
      <c r="J53" s="39"/>
      <c r="K53" s="40"/>
      <c r="L53" s="39"/>
      <c r="M53" s="39"/>
      <c r="N53" s="40"/>
      <c r="O53" s="40"/>
      <c r="P53" s="40"/>
      <c r="Q53" s="40"/>
      <c r="R53" s="40"/>
      <c r="S53" s="3" t="e">
        <f t="shared" si="0"/>
        <v>#DIV/0!</v>
      </c>
    </row>
    <row r="54" spans="2:19" ht="35.1" customHeight="1" thickBot="1" x14ac:dyDescent="0.25">
      <c r="B54" s="41"/>
      <c r="C54" s="41"/>
      <c r="D54" s="41"/>
      <c r="E54" s="41"/>
      <c r="F54" s="41"/>
      <c r="G54" s="41"/>
      <c r="H54" s="41"/>
      <c r="I54" s="41"/>
      <c r="J54" s="42"/>
      <c r="K54" s="43"/>
      <c r="L54" s="42"/>
      <c r="M54" s="42"/>
      <c r="N54" s="43"/>
      <c r="O54" s="43"/>
      <c r="P54" s="43"/>
      <c r="Q54" s="43"/>
      <c r="R54" s="43"/>
      <c r="S54" s="3" t="e">
        <f t="shared" si="0"/>
        <v>#DIV/0!</v>
      </c>
    </row>
    <row r="55" spans="2:19" ht="35.1" customHeight="1" thickBot="1" x14ac:dyDescent="0.25">
      <c r="B55" s="41"/>
      <c r="C55" s="41"/>
      <c r="D55" s="41"/>
      <c r="E55" s="41"/>
      <c r="F55" s="41"/>
      <c r="G55" s="41"/>
      <c r="H55" s="41"/>
      <c r="I55" s="41"/>
      <c r="J55" s="42"/>
      <c r="K55" s="43"/>
      <c r="L55" s="42"/>
      <c r="M55" s="42"/>
      <c r="N55" s="43"/>
      <c r="O55" s="43"/>
      <c r="P55" s="43"/>
      <c r="Q55" s="43"/>
      <c r="R55" s="43"/>
      <c r="S55" s="3" t="e">
        <f t="shared" si="0"/>
        <v>#DIV/0!</v>
      </c>
    </row>
    <row r="56" spans="2:19" ht="35.1" customHeight="1" thickBot="1" x14ac:dyDescent="0.25">
      <c r="B56" s="41"/>
      <c r="C56" s="41"/>
      <c r="D56" s="41"/>
      <c r="E56" s="41"/>
      <c r="F56" s="41"/>
      <c r="G56" s="41"/>
      <c r="H56" s="41"/>
      <c r="I56" s="41"/>
      <c r="J56" s="42"/>
      <c r="K56" s="43"/>
      <c r="L56" s="42"/>
      <c r="M56" s="42"/>
      <c r="N56" s="43"/>
      <c r="O56" s="43"/>
      <c r="P56" s="43"/>
      <c r="Q56" s="43"/>
      <c r="R56" s="43"/>
      <c r="S56" s="3" t="e">
        <f t="shared" si="0"/>
        <v>#DIV/0!</v>
      </c>
    </row>
    <row r="57" spans="2:19" ht="35.1" customHeight="1" thickBot="1" x14ac:dyDescent="0.25">
      <c r="B57" s="41"/>
      <c r="C57" s="41"/>
      <c r="D57" s="41"/>
      <c r="E57" s="41"/>
      <c r="F57" s="41"/>
      <c r="G57" s="41"/>
      <c r="H57" s="41"/>
      <c r="I57" s="41"/>
      <c r="J57" s="42"/>
      <c r="K57" s="43"/>
      <c r="L57" s="42"/>
      <c r="M57" s="42"/>
      <c r="N57" s="43"/>
      <c r="O57" s="43"/>
      <c r="P57" s="43"/>
      <c r="Q57" s="43"/>
      <c r="R57" s="43"/>
      <c r="S57" s="3" t="e">
        <f t="shared" si="0"/>
        <v>#DIV/0!</v>
      </c>
    </row>
    <row r="58" spans="2:19" ht="35.1" customHeight="1" thickBot="1" x14ac:dyDescent="0.25">
      <c r="B58" s="41"/>
      <c r="C58" s="41"/>
      <c r="D58" s="41"/>
      <c r="E58" s="41"/>
      <c r="F58" s="41"/>
      <c r="G58" s="41"/>
      <c r="H58" s="41"/>
      <c r="I58" s="41"/>
      <c r="J58" s="42"/>
      <c r="K58" s="43"/>
      <c r="L58" s="42"/>
      <c r="M58" s="42"/>
      <c r="N58" s="43"/>
      <c r="O58" s="43"/>
      <c r="P58" s="43"/>
      <c r="Q58" s="43"/>
      <c r="R58" s="43"/>
      <c r="S58" s="3" t="e">
        <f t="shared" si="0"/>
        <v>#DIV/0!</v>
      </c>
    </row>
    <row r="59" spans="2:19" ht="35.1" customHeight="1" thickBot="1" x14ac:dyDescent="0.25">
      <c r="B59" s="44"/>
      <c r="C59" s="44"/>
      <c r="D59" s="44"/>
      <c r="E59" s="44"/>
      <c r="F59" s="44"/>
      <c r="G59" s="44"/>
      <c r="H59" s="44"/>
      <c r="I59" s="44"/>
      <c r="J59" s="45"/>
      <c r="K59" s="46"/>
      <c r="L59" s="45"/>
      <c r="M59" s="45"/>
      <c r="N59" s="46"/>
      <c r="O59" s="46"/>
      <c r="P59" s="46"/>
      <c r="Q59" s="46"/>
      <c r="R59" s="46"/>
      <c r="S59" s="3" t="e">
        <f t="shared" si="0"/>
        <v>#DIV/0!</v>
      </c>
    </row>
    <row r="60" spans="2:19" ht="35.1" customHeight="1" thickTop="1" thickBot="1" x14ac:dyDescent="0.25">
      <c r="B60" s="38"/>
      <c r="C60" s="38"/>
      <c r="D60" s="38"/>
      <c r="E60" s="38"/>
      <c r="F60" s="38"/>
      <c r="G60" s="38"/>
      <c r="H60" s="38"/>
      <c r="I60" s="38"/>
      <c r="J60" s="39"/>
      <c r="K60" s="40"/>
      <c r="L60" s="39"/>
      <c r="M60" s="39"/>
      <c r="N60" s="40"/>
      <c r="O60" s="40"/>
      <c r="P60" s="40"/>
      <c r="Q60" s="40"/>
      <c r="R60" s="40"/>
      <c r="S60" s="3" t="e">
        <f t="shared" si="0"/>
        <v>#DIV/0!</v>
      </c>
    </row>
    <row r="61" spans="2:19" ht="35.1" customHeight="1" thickBot="1" x14ac:dyDescent="0.25">
      <c r="B61" s="41"/>
      <c r="C61" s="41"/>
      <c r="D61" s="41"/>
      <c r="E61" s="41"/>
      <c r="F61" s="41"/>
      <c r="G61" s="41"/>
      <c r="H61" s="41"/>
      <c r="I61" s="41"/>
      <c r="J61" s="42"/>
      <c r="K61" s="43"/>
      <c r="L61" s="42"/>
      <c r="M61" s="42"/>
      <c r="N61" s="43"/>
      <c r="O61" s="43"/>
      <c r="P61" s="43"/>
      <c r="Q61" s="43"/>
      <c r="R61" s="43"/>
      <c r="S61" s="3" t="e">
        <f t="shared" si="0"/>
        <v>#DIV/0!</v>
      </c>
    </row>
    <row r="62" spans="2:19" ht="35.1" customHeight="1" thickBot="1" x14ac:dyDescent="0.25">
      <c r="B62" s="41"/>
      <c r="C62" s="41"/>
      <c r="D62" s="41"/>
      <c r="E62" s="41"/>
      <c r="F62" s="41"/>
      <c r="G62" s="41"/>
      <c r="H62" s="41"/>
      <c r="I62" s="41"/>
      <c r="J62" s="42"/>
      <c r="K62" s="43"/>
      <c r="L62" s="42"/>
      <c r="M62" s="42"/>
      <c r="N62" s="43"/>
      <c r="O62" s="43"/>
      <c r="P62" s="43"/>
      <c r="Q62" s="43"/>
      <c r="R62" s="43"/>
      <c r="S62" s="3" t="e">
        <f t="shared" si="0"/>
        <v>#DIV/0!</v>
      </c>
    </row>
    <row r="63" spans="2:19" ht="35.1" customHeight="1" thickBot="1" x14ac:dyDescent="0.25">
      <c r="B63" s="41"/>
      <c r="C63" s="41"/>
      <c r="D63" s="41"/>
      <c r="E63" s="41"/>
      <c r="F63" s="41"/>
      <c r="G63" s="41"/>
      <c r="H63" s="41"/>
      <c r="I63" s="41"/>
      <c r="J63" s="42"/>
      <c r="K63" s="43"/>
      <c r="L63" s="42"/>
      <c r="M63" s="42"/>
      <c r="N63" s="43"/>
      <c r="O63" s="43"/>
      <c r="P63" s="43"/>
      <c r="Q63" s="43"/>
      <c r="R63" s="43"/>
      <c r="S63" s="3" t="e">
        <f t="shared" si="0"/>
        <v>#DIV/0!</v>
      </c>
    </row>
    <row r="64" spans="2:19" ht="35.1" customHeight="1" thickBot="1" x14ac:dyDescent="0.25">
      <c r="B64" s="41"/>
      <c r="C64" s="41"/>
      <c r="D64" s="41"/>
      <c r="E64" s="41"/>
      <c r="F64" s="41"/>
      <c r="G64" s="41"/>
      <c r="H64" s="41"/>
      <c r="I64" s="41"/>
      <c r="J64" s="42"/>
      <c r="K64" s="43"/>
      <c r="L64" s="42"/>
      <c r="M64" s="42"/>
      <c r="N64" s="43"/>
      <c r="O64" s="43"/>
      <c r="P64" s="43"/>
      <c r="Q64" s="43"/>
      <c r="R64" s="43"/>
      <c r="S64" s="3" t="e">
        <f t="shared" si="0"/>
        <v>#DIV/0!</v>
      </c>
    </row>
    <row r="65" spans="2:19" ht="35.1" customHeight="1" thickBot="1" x14ac:dyDescent="0.25">
      <c r="B65" s="41"/>
      <c r="C65" s="41"/>
      <c r="D65" s="41"/>
      <c r="E65" s="41"/>
      <c r="F65" s="41"/>
      <c r="G65" s="41"/>
      <c r="H65" s="41"/>
      <c r="I65" s="41"/>
      <c r="J65" s="42"/>
      <c r="K65" s="43"/>
      <c r="L65" s="42"/>
      <c r="M65" s="42"/>
      <c r="N65" s="43"/>
      <c r="O65" s="43"/>
      <c r="P65" s="43"/>
      <c r="Q65" s="43"/>
      <c r="R65" s="43"/>
      <c r="S65" s="3" t="e">
        <f t="shared" si="0"/>
        <v>#DIV/0!</v>
      </c>
    </row>
    <row r="66" spans="2:19" ht="35.1" customHeight="1" thickBot="1" x14ac:dyDescent="0.25">
      <c r="B66" s="44"/>
      <c r="C66" s="44"/>
      <c r="D66" s="44"/>
      <c r="E66" s="44"/>
      <c r="F66" s="44"/>
      <c r="G66" s="44"/>
      <c r="H66" s="44"/>
      <c r="I66" s="44"/>
      <c r="J66" s="45"/>
      <c r="K66" s="46"/>
      <c r="L66" s="45"/>
      <c r="M66" s="45"/>
      <c r="N66" s="46"/>
      <c r="O66" s="46"/>
      <c r="P66" s="46"/>
      <c r="Q66" s="46"/>
      <c r="R66" s="46"/>
      <c r="S66" s="3" t="e">
        <f t="shared" si="0"/>
        <v>#DIV/0!</v>
      </c>
    </row>
    <row r="67" spans="2:19" ht="35.1" customHeight="1" thickTop="1" thickBot="1" x14ac:dyDescent="0.25">
      <c r="B67" s="38"/>
      <c r="C67" s="38"/>
      <c r="D67" s="38"/>
      <c r="E67" s="38"/>
      <c r="F67" s="38"/>
      <c r="G67" s="38"/>
      <c r="H67" s="38"/>
      <c r="I67" s="38"/>
      <c r="J67" s="39"/>
      <c r="K67" s="40"/>
      <c r="L67" s="39"/>
      <c r="M67" s="39"/>
      <c r="N67" s="40"/>
      <c r="O67" s="40"/>
      <c r="P67" s="40"/>
      <c r="Q67" s="40"/>
      <c r="R67" s="40"/>
      <c r="S67" s="3" t="e">
        <f t="shared" si="0"/>
        <v>#DIV/0!</v>
      </c>
    </row>
    <row r="68" spans="2:19" ht="35.1" customHeight="1" thickBot="1" x14ac:dyDescent="0.25">
      <c r="B68" s="41"/>
      <c r="C68" s="41"/>
      <c r="D68" s="41"/>
      <c r="E68" s="41"/>
      <c r="F68" s="41"/>
      <c r="G68" s="41"/>
      <c r="H68" s="41"/>
      <c r="I68" s="41"/>
      <c r="J68" s="42"/>
      <c r="K68" s="43"/>
      <c r="L68" s="42"/>
      <c r="M68" s="42"/>
      <c r="N68" s="43"/>
      <c r="O68" s="43"/>
      <c r="P68" s="43"/>
      <c r="Q68" s="43"/>
      <c r="R68" s="43"/>
      <c r="S68" s="3" t="e">
        <f t="shared" si="0"/>
        <v>#DIV/0!</v>
      </c>
    </row>
    <row r="69" spans="2:19" ht="35.1" customHeight="1" thickBot="1" x14ac:dyDescent="0.25">
      <c r="B69" s="41"/>
      <c r="C69" s="41"/>
      <c r="D69" s="41"/>
      <c r="E69" s="41"/>
      <c r="F69" s="41"/>
      <c r="G69" s="41"/>
      <c r="H69" s="41"/>
      <c r="I69" s="41"/>
      <c r="J69" s="42"/>
      <c r="K69" s="43"/>
      <c r="L69" s="42"/>
      <c r="M69" s="42"/>
      <c r="N69" s="43"/>
      <c r="O69" s="43"/>
      <c r="P69" s="43"/>
      <c r="Q69" s="43"/>
      <c r="R69" s="43"/>
      <c r="S69" s="3" t="e">
        <f t="shared" ref="S69:S129" si="1">K69/J69</f>
        <v>#DIV/0!</v>
      </c>
    </row>
    <row r="70" spans="2:19" ht="35.1" customHeight="1" thickBot="1" x14ac:dyDescent="0.25">
      <c r="B70" s="41"/>
      <c r="C70" s="41"/>
      <c r="D70" s="41"/>
      <c r="E70" s="41"/>
      <c r="F70" s="41"/>
      <c r="G70" s="41"/>
      <c r="H70" s="41"/>
      <c r="I70" s="41"/>
      <c r="J70" s="42"/>
      <c r="K70" s="43"/>
      <c r="L70" s="42"/>
      <c r="M70" s="42"/>
      <c r="N70" s="43"/>
      <c r="O70" s="43"/>
      <c r="P70" s="43"/>
      <c r="Q70" s="43"/>
      <c r="R70" s="43"/>
      <c r="S70" s="3" t="e">
        <f t="shared" si="1"/>
        <v>#DIV/0!</v>
      </c>
    </row>
    <row r="71" spans="2:19" ht="35.1" customHeight="1" thickBot="1" x14ac:dyDescent="0.25">
      <c r="B71" s="41"/>
      <c r="C71" s="41"/>
      <c r="D71" s="41"/>
      <c r="E71" s="41"/>
      <c r="F71" s="41"/>
      <c r="G71" s="41"/>
      <c r="H71" s="41"/>
      <c r="I71" s="41"/>
      <c r="J71" s="42"/>
      <c r="K71" s="43"/>
      <c r="L71" s="42"/>
      <c r="M71" s="42"/>
      <c r="N71" s="43"/>
      <c r="O71" s="43"/>
      <c r="P71" s="43"/>
      <c r="Q71" s="43"/>
      <c r="R71" s="43"/>
      <c r="S71" s="3" t="e">
        <f t="shared" si="1"/>
        <v>#DIV/0!</v>
      </c>
    </row>
    <row r="72" spans="2:19" ht="35.1" customHeight="1" thickBot="1" x14ac:dyDescent="0.25">
      <c r="B72" s="41"/>
      <c r="C72" s="41"/>
      <c r="D72" s="41"/>
      <c r="E72" s="41"/>
      <c r="F72" s="41"/>
      <c r="G72" s="41"/>
      <c r="H72" s="41"/>
      <c r="I72" s="41"/>
      <c r="J72" s="42"/>
      <c r="K72" s="43"/>
      <c r="L72" s="42"/>
      <c r="M72" s="42"/>
      <c r="N72" s="43"/>
      <c r="O72" s="43"/>
      <c r="P72" s="43"/>
      <c r="Q72" s="43"/>
      <c r="R72" s="43"/>
      <c r="S72" s="3" t="e">
        <f t="shared" si="1"/>
        <v>#DIV/0!</v>
      </c>
    </row>
    <row r="73" spans="2:19" ht="35.1" customHeight="1" thickBot="1" x14ac:dyDescent="0.25">
      <c r="B73" s="44"/>
      <c r="C73" s="44"/>
      <c r="D73" s="44"/>
      <c r="E73" s="44"/>
      <c r="F73" s="44"/>
      <c r="G73" s="44"/>
      <c r="H73" s="44"/>
      <c r="I73" s="44"/>
      <c r="J73" s="45"/>
      <c r="K73" s="46"/>
      <c r="L73" s="45"/>
      <c r="M73" s="45"/>
      <c r="N73" s="46"/>
      <c r="O73" s="46"/>
      <c r="P73" s="46"/>
      <c r="Q73" s="46"/>
      <c r="R73" s="46"/>
      <c r="S73" s="3" t="e">
        <f t="shared" si="1"/>
        <v>#DIV/0!</v>
      </c>
    </row>
    <row r="74" spans="2:19" ht="35.1" customHeight="1" thickTop="1" thickBot="1" x14ac:dyDescent="0.25">
      <c r="B74" s="38"/>
      <c r="C74" s="38"/>
      <c r="D74" s="38"/>
      <c r="E74" s="38"/>
      <c r="F74" s="38"/>
      <c r="G74" s="38"/>
      <c r="H74" s="38"/>
      <c r="I74" s="38"/>
      <c r="J74" s="39"/>
      <c r="K74" s="40"/>
      <c r="L74" s="39"/>
      <c r="M74" s="39"/>
      <c r="N74" s="40"/>
      <c r="O74" s="40"/>
      <c r="P74" s="40"/>
      <c r="Q74" s="40"/>
      <c r="R74" s="40"/>
      <c r="S74" s="3" t="e">
        <f t="shared" si="1"/>
        <v>#DIV/0!</v>
      </c>
    </row>
    <row r="75" spans="2:19" ht="35.1" customHeight="1" thickBot="1" x14ac:dyDescent="0.25">
      <c r="B75" s="41"/>
      <c r="C75" s="41"/>
      <c r="D75" s="41"/>
      <c r="E75" s="41"/>
      <c r="F75" s="41"/>
      <c r="G75" s="41"/>
      <c r="H75" s="41"/>
      <c r="I75" s="41"/>
      <c r="J75" s="42"/>
      <c r="K75" s="43"/>
      <c r="L75" s="42"/>
      <c r="M75" s="42"/>
      <c r="N75" s="43"/>
      <c r="O75" s="43"/>
      <c r="P75" s="43"/>
      <c r="Q75" s="43"/>
      <c r="R75" s="43"/>
      <c r="S75" s="3" t="e">
        <f t="shared" si="1"/>
        <v>#DIV/0!</v>
      </c>
    </row>
    <row r="76" spans="2:19" ht="35.1" customHeight="1" thickBot="1" x14ac:dyDescent="0.25">
      <c r="B76" s="41"/>
      <c r="C76" s="41"/>
      <c r="D76" s="41"/>
      <c r="E76" s="41"/>
      <c r="F76" s="41"/>
      <c r="G76" s="41"/>
      <c r="H76" s="41"/>
      <c r="I76" s="41"/>
      <c r="J76" s="42"/>
      <c r="K76" s="43"/>
      <c r="L76" s="42"/>
      <c r="M76" s="42"/>
      <c r="N76" s="43"/>
      <c r="O76" s="43"/>
      <c r="P76" s="43"/>
      <c r="Q76" s="43"/>
      <c r="R76" s="43"/>
      <c r="S76" s="3" t="e">
        <f t="shared" si="1"/>
        <v>#DIV/0!</v>
      </c>
    </row>
    <row r="77" spans="2:19" ht="35.1" customHeight="1" thickBot="1" x14ac:dyDescent="0.25">
      <c r="B77" s="41"/>
      <c r="C77" s="41"/>
      <c r="D77" s="41"/>
      <c r="E77" s="41"/>
      <c r="F77" s="41"/>
      <c r="G77" s="41"/>
      <c r="H77" s="41"/>
      <c r="I77" s="41"/>
      <c r="J77" s="42"/>
      <c r="K77" s="43"/>
      <c r="L77" s="42"/>
      <c r="M77" s="42"/>
      <c r="N77" s="43"/>
      <c r="O77" s="43"/>
      <c r="P77" s="43"/>
      <c r="Q77" s="43"/>
      <c r="R77" s="43"/>
      <c r="S77" s="3" t="e">
        <f t="shared" si="1"/>
        <v>#DIV/0!</v>
      </c>
    </row>
    <row r="78" spans="2:19" ht="35.1" customHeight="1" thickBot="1" x14ac:dyDescent="0.25">
      <c r="B78" s="41"/>
      <c r="C78" s="41"/>
      <c r="D78" s="41"/>
      <c r="E78" s="41"/>
      <c r="F78" s="41"/>
      <c r="G78" s="41"/>
      <c r="H78" s="41"/>
      <c r="I78" s="41"/>
      <c r="J78" s="42"/>
      <c r="K78" s="43"/>
      <c r="L78" s="42"/>
      <c r="M78" s="42"/>
      <c r="N78" s="43"/>
      <c r="O78" s="43"/>
      <c r="P78" s="43"/>
      <c r="Q78" s="43"/>
      <c r="R78" s="43"/>
      <c r="S78" s="3" t="e">
        <f t="shared" si="1"/>
        <v>#DIV/0!</v>
      </c>
    </row>
    <row r="79" spans="2:19" ht="35.1" customHeight="1" thickBot="1" x14ac:dyDescent="0.25">
      <c r="B79" s="41"/>
      <c r="C79" s="41"/>
      <c r="D79" s="41"/>
      <c r="E79" s="41"/>
      <c r="F79" s="41"/>
      <c r="G79" s="41"/>
      <c r="H79" s="41"/>
      <c r="I79" s="41"/>
      <c r="J79" s="42"/>
      <c r="K79" s="43"/>
      <c r="L79" s="42"/>
      <c r="M79" s="42"/>
      <c r="N79" s="43"/>
      <c r="O79" s="43"/>
      <c r="P79" s="43"/>
      <c r="Q79" s="43"/>
      <c r="R79" s="43"/>
      <c r="S79" s="3" t="e">
        <f t="shared" si="1"/>
        <v>#DIV/0!</v>
      </c>
    </row>
    <row r="80" spans="2:19" ht="35.1" customHeight="1" thickBot="1" x14ac:dyDescent="0.25">
      <c r="B80" s="44"/>
      <c r="C80" s="44"/>
      <c r="D80" s="44"/>
      <c r="E80" s="44"/>
      <c r="F80" s="44"/>
      <c r="G80" s="44"/>
      <c r="H80" s="44"/>
      <c r="I80" s="44"/>
      <c r="J80" s="45"/>
      <c r="K80" s="46"/>
      <c r="L80" s="45"/>
      <c r="M80" s="45"/>
      <c r="N80" s="46"/>
      <c r="O80" s="46"/>
      <c r="P80" s="46"/>
      <c r="Q80" s="46"/>
      <c r="R80" s="46"/>
      <c r="S80" s="3" t="e">
        <f t="shared" si="1"/>
        <v>#DIV/0!</v>
      </c>
    </row>
    <row r="81" spans="2:19" ht="35.1" customHeight="1" thickTop="1" thickBot="1" x14ac:dyDescent="0.25">
      <c r="B81" s="38"/>
      <c r="C81" s="38"/>
      <c r="D81" s="38"/>
      <c r="E81" s="38"/>
      <c r="F81" s="38"/>
      <c r="G81" s="38"/>
      <c r="H81" s="38"/>
      <c r="I81" s="38"/>
      <c r="J81" s="39"/>
      <c r="K81" s="40"/>
      <c r="L81" s="39"/>
      <c r="M81" s="39"/>
      <c r="N81" s="40"/>
      <c r="O81" s="40"/>
      <c r="P81" s="40"/>
      <c r="Q81" s="40"/>
      <c r="R81" s="40"/>
      <c r="S81" s="3" t="e">
        <f t="shared" si="1"/>
        <v>#DIV/0!</v>
      </c>
    </row>
    <row r="82" spans="2:19" ht="35.1" customHeight="1" thickBot="1" x14ac:dyDescent="0.25">
      <c r="B82" s="41"/>
      <c r="C82" s="41"/>
      <c r="D82" s="41"/>
      <c r="E82" s="41"/>
      <c r="F82" s="41"/>
      <c r="G82" s="41"/>
      <c r="H82" s="41"/>
      <c r="I82" s="41"/>
      <c r="J82" s="42"/>
      <c r="K82" s="43"/>
      <c r="L82" s="42"/>
      <c r="M82" s="42"/>
      <c r="N82" s="43"/>
      <c r="O82" s="43"/>
      <c r="P82" s="43"/>
      <c r="Q82" s="43"/>
      <c r="R82" s="43"/>
      <c r="S82" s="3" t="e">
        <f t="shared" si="1"/>
        <v>#DIV/0!</v>
      </c>
    </row>
    <row r="83" spans="2:19" ht="35.1" customHeight="1" thickBot="1" x14ac:dyDescent="0.25">
      <c r="B83" s="41"/>
      <c r="C83" s="41"/>
      <c r="D83" s="41"/>
      <c r="E83" s="41"/>
      <c r="F83" s="41"/>
      <c r="G83" s="41"/>
      <c r="H83" s="41"/>
      <c r="I83" s="41"/>
      <c r="J83" s="42"/>
      <c r="K83" s="43"/>
      <c r="L83" s="42"/>
      <c r="M83" s="42"/>
      <c r="N83" s="43"/>
      <c r="O83" s="43"/>
      <c r="P83" s="43"/>
      <c r="Q83" s="43"/>
      <c r="R83" s="43"/>
      <c r="S83" s="3" t="e">
        <f t="shared" si="1"/>
        <v>#DIV/0!</v>
      </c>
    </row>
    <row r="84" spans="2:19" ht="35.1" customHeight="1" thickBot="1" x14ac:dyDescent="0.25">
      <c r="B84" s="41"/>
      <c r="C84" s="41"/>
      <c r="D84" s="41"/>
      <c r="E84" s="41"/>
      <c r="F84" s="41"/>
      <c r="G84" s="41"/>
      <c r="H84" s="41"/>
      <c r="I84" s="41"/>
      <c r="J84" s="42"/>
      <c r="K84" s="43"/>
      <c r="L84" s="42"/>
      <c r="M84" s="42"/>
      <c r="N84" s="43"/>
      <c r="O84" s="43"/>
      <c r="P84" s="43"/>
      <c r="Q84" s="43"/>
      <c r="R84" s="43"/>
      <c r="S84" s="3" t="e">
        <f t="shared" si="1"/>
        <v>#DIV/0!</v>
      </c>
    </row>
    <row r="85" spans="2:19" ht="35.1" customHeight="1" thickBot="1" x14ac:dyDescent="0.25">
      <c r="B85" s="41"/>
      <c r="C85" s="41"/>
      <c r="D85" s="41"/>
      <c r="E85" s="41"/>
      <c r="F85" s="41"/>
      <c r="G85" s="41"/>
      <c r="H85" s="41"/>
      <c r="I85" s="41"/>
      <c r="J85" s="42"/>
      <c r="K85" s="43"/>
      <c r="L85" s="42"/>
      <c r="M85" s="42"/>
      <c r="N85" s="43"/>
      <c r="O85" s="43"/>
      <c r="P85" s="43"/>
      <c r="Q85" s="43"/>
      <c r="R85" s="43"/>
      <c r="S85" s="3" t="e">
        <f t="shared" si="1"/>
        <v>#DIV/0!</v>
      </c>
    </row>
    <row r="86" spans="2:19" ht="35.1" customHeight="1" thickBot="1" x14ac:dyDescent="0.25">
      <c r="B86" s="41"/>
      <c r="C86" s="41"/>
      <c r="D86" s="41"/>
      <c r="E86" s="41"/>
      <c r="F86" s="41"/>
      <c r="G86" s="41"/>
      <c r="H86" s="41"/>
      <c r="I86" s="41"/>
      <c r="J86" s="42"/>
      <c r="K86" s="43"/>
      <c r="L86" s="42"/>
      <c r="M86" s="42"/>
      <c r="N86" s="43"/>
      <c r="O86" s="43"/>
      <c r="P86" s="43"/>
      <c r="Q86" s="43"/>
      <c r="R86" s="43"/>
      <c r="S86" s="3" t="e">
        <f t="shared" si="1"/>
        <v>#DIV/0!</v>
      </c>
    </row>
    <row r="87" spans="2:19" ht="35.1" customHeight="1" thickBot="1" x14ac:dyDescent="0.25">
      <c r="B87" s="44"/>
      <c r="C87" s="44"/>
      <c r="D87" s="44"/>
      <c r="E87" s="44"/>
      <c r="F87" s="44"/>
      <c r="G87" s="44"/>
      <c r="H87" s="44"/>
      <c r="I87" s="44"/>
      <c r="J87" s="45"/>
      <c r="K87" s="46"/>
      <c r="L87" s="45"/>
      <c r="M87" s="45"/>
      <c r="N87" s="46"/>
      <c r="O87" s="46"/>
      <c r="P87" s="46"/>
      <c r="Q87" s="46"/>
      <c r="R87" s="46"/>
      <c r="S87" s="3" t="e">
        <f t="shared" si="1"/>
        <v>#DIV/0!</v>
      </c>
    </row>
    <row r="88" spans="2:19" ht="35.1" customHeight="1" thickTop="1" thickBot="1" x14ac:dyDescent="0.25">
      <c r="B88" s="38"/>
      <c r="C88" s="38"/>
      <c r="D88" s="38"/>
      <c r="E88" s="38"/>
      <c r="F88" s="38"/>
      <c r="G88" s="38"/>
      <c r="H88" s="38"/>
      <c r="I88" s="38"/>
      <c r="J88" s="39"/>
      <c r="K88" s="40"/>
      <c r="L88" s="39"/>
      <c r="M88" s="39"/>
      <c r="N88" s="40"/>
      <c r="O88" s="40"/>
      <c r="P88" s="40"/>
      <c r="Q88" s="40"/>
      <c r="R88" s="40"/>
      <c r="S88" s="3" t="e">
        <f t="shared" si="1"/>
        <v>#DIV/0!</v>
      </c>
    </row>
    <row r="89" spans="2:19" ht="35.1" customHeight="1" thickBot="1" x14ac:dyDescent="0.25">
      <c r="B89" s="41"/>
      <c r="C89" s="41"/>
      <c r="D89" s="41"/>
      <c r="E89" s="41"/>
      <c r="F89" s="41"/>
      <c r="G89" s="41"/>
      <c r="H89" s="41"/>
      <c r="I89" s="41"/>
      <c r="J89" s="42"/>
      <c r="K89" s="43"/>
      <c r="L89" s="42"/>
      <c r="M89" s="42"/>
      <c r="N89" s="43"/>
      <c r="O89" s="43"/>
      <c r="P89" s="43"/>
      <c r="Q89" s="43"/>
      <c r="R89" s="43"/>
      <c r="S89" s="3" t="e">
        <f t="shared" si="1"/>
        <v>#DIV/0!</v>
      </c>
    </row>
    <row r="90" spans="2:19" ht="35.1" customHeight="1" thickBot="1" x14ac:dyDescent="0.25">
      <c r="B90" s="41"/>
      <c r="C90" s="41"/>
      <c r="D90" s="41"/>
      <c r="E90" s="41"/>
      <c r="F90" s="41"/>
      <c r="G90" s="41"/>
      <c r="H90" s="41"/>
      <c r="I90" s="41"/>
      <c r="J90" s="42"/>
      <c r="K90" s="43"/>
      <c r="L90" s="42"/>
      <c r="M90" s="42"/>
      <c r="N90" s="43"/>
      <c r="O90" s="43"/>
      <c r="P90" s="43"/>
      <c r="Q90" s="43"/>
      <c r="R90" s="43"/>
      <c r="S90" s="3" t="e">
        <f t="shared" si="1"/>
        <v>#DIV/0!</v>
      </c>
    </row>
    <row r="91" spans="2:19" ht="35.1" customHeight="1" thickBot="1" x14ac:dyDescent="0.25">
      <c r="B91" s="41"/>
      <c r="C91" s="41"/>
      <c r="D91" s="41"/>
      <c r="E91" s="41"/>
      <c r="F91" s="41"/>
      <c r="G91" s="41"/>
      <c r="H91" s="41"/>
      <c r="I91" s="41"/>
      <c r="J91" s="42"/>
      <c r="K91" s="43"/>
      <c r="L91" s="42"/>
      <c r="M91" s="42"/>
      <c r="N91" s="43"/>
      <c r="O91" s="43"/>
      <c r="P91" s="43"/>
      <c r="Q91" s="43"/>
      <c r="R91" s="43"/>
      <c r="S91" s="3" t="e">
        <f t="shared" si="1"/>
        <v>#DIV/0!</v>
      </c>
    </row>
    <row r="92" spans="2:19" ht="35.1" customHeight="1" thickBot="1" x14ac:dyDescent="0.25">
      <c r="B92" s="41"/>
      <c r="C92" s="41"/>
      <c r="D92" s="41"/>
      <c r="E92" s="41"/>
      <c r="F92" s="41"/>
      <c r="G92" s="41"/>
      <c r="H92" s="41"/>
      <c r="I92" s="41"/>
      <c r="J92" s="42"/>
      <c r="K92" s="43"/>
      <c r="L92" s="42"/>
      <c r="M92" s="42"/>
      <c r="N92" s="43"/>
      <c r="O92" s="43"/>
      <c r="P92" s="43"/>
      <c r="Q92" s="43"/>
      <c r="R92" s="43"/>
      <c r="S92" s="3" t="e">
        <f t="shared" si="1"/>
        <v>#DIV/0!</v>
      </c>
    </row>
    <row r="93" spans="2:19" ht="35.1" customHeight="1" thickBot="1" x14ac:dyDescent="0.25">
      <c r="B93" s="41"/>
      <c r="C93" s="41"/>
      <c r="D93" s="41"/>
      <c r="E93" s="41"/>
      <c r="F93" s="41"/>
      <c r="G93" s="41"/>
      <c r="H93" s="41"/>
      <c r="I93" s="41"/>
      <c r="J93" s="42"/>
      <c r="K93" s="43"/>
      <c r="L93" s="42"/>
      <c r="M93" s="42"/>
      <c r="N93" s="43"/>
      <c r="O93" s="43"/>
      <c r="P93" s="43"/>
      <c r="Q93" s="43"/>
      <c r="R93" s="43"/>
      <c r="S93" s="3" t="e">
        <f t="shared" si="1"/>
        <v>#DIV/0!</v>
      </c>
    </row>
    <row r="94" spans="2:19" ht="15" customHeight="1" thickBot="1" x14ac:dyDescent="0.25">
      <c r="B94" s="44"/>
      <c r="C94" s="44"/>
      <c r="D94" s="44"/>
      <c r="E94" s="44"/>
      <c r="F94" s="44"/>
      <c r="G94" s="44"/>
      <c r="H94" s="44"/>
      <c r="I94" s="44"/>
      <c r="J94" s="45"/>
      <c r="K94" s="46"/>
      <c r="L94" s="45"/>
      <c r="M94" s="45"/>
      <c r="N94" s="46"/>
      <c r="O94" s="46"/>
      <c r="P94" s="46"/>
      <c r="Q94" s="46"/>
      <c r="R94" s="46"/>
      <c r="S94" s="3" t="e">
        <f t="shared" si="1"/>
        <v>#DIV/0!</v>
      </c>
    </row>
    <row r="95" spans="2:19" ht="15" customHeight="1" thickTop="1" thickBot="1" x14ac:dyDescent="0.25">
      <c r="B95" s="38"/>
      <c r="C95" s="38"/>
      <c r="D95" s="38"/>
      <c r="E95" s="38"/>
      <c r="F95" s="38"/>
      <c r="G95" s="38"/>
      <c r="H95" s="38"/>
      <c r="I95" s="38"/>
      <c r="J95" s="39"/>
      <c r="K95" s="40"/>
      <c r="L95" s="39"/>
      <c r="M95" s="39"/>
      <c r="N95" s="40"/>
      <c r="O95" s="40"/>
      <c r="P95" s="40"/>
      <c r="Q95" s="40"/>
      <c r="R95" s="40"/>
      <c r="S95" s="3" t="e">
        <f t="shared" si="1"/>
        <v>#DIV/0!</v>
      </c>
    </row>
    <row r="96" spans="2:19" ht="15" customHeight="1" thickBot="1" x14ac:dyDescent="0.25">
      <c r="B96" s="41"/>
      <c r="C96" s="41"/>
      <c r="D96" s="41"/>
      <c r="E96" s="41"/>
      <c r="F96" s="41"/>
      <c r="G96" s="41"/>
      <c r="H96" s="41"/>
      <c r="I96" s="41"/>
      <c r="J96" s="42"/>
      <c r="K96" s="43"/>
      <c r="L96" s="42"/>
      <c r="M96" s="42"/>
      <c r="N96" s="43"/>
      <c r="O96" s="43"/>
      <c r="P96" s="43"/>
      <c r="Q96" s="43"/>
      <c r="R96" s="43"/>
      <c r="S96" s="3" t="e">
        <f t="shared" si="1"/>
        <v>#DIV/0!</v>
      </c>
    </row>
    <row r="97" spans="2:19" ht="15" customHeight="1" thickBot="1" x14ac:dyDescent="0.25">
      <c r="B97" s="41"/>
      <c r="C97" s="41"/>
      <c r="D97" s="41"/>
      <c r="E97" s="41"/>
      <c r="F97" s="41"/>
      <c r="G97" s="41"/>
      <c r="H97" s="41"/>
      <c r="I97" s="41"/>
      <c r="J97" s="42"/>
      <c r="K97" s="43"/>
      <c r="L97" s="42"/>
      <c r="M97" s="42"/>
      <c r="N97" s="43"/>
      <c r="O97" s="43"/>
      <c r="P97" s="43"/>
      <c r="Q97" s="43"/>
      <c r="R97" s="43"/>
      <c r="S97" s="3" t="e">
        <f t="shared" si="1"/>
        <v>#DIV/0!</v>
      </c>
    </row>
    <row r="98" spans="2:19" ht="15" customHeight="1" thickBot="1" x14ac:dyDescent="0.25">
      <c r="B98" s="41"/>
      <c r="C98" s="41"/>
      <c r="D98" s="41"/>
      <c r="E98" s="41"/>
      <c r="F98" s="41"/>
      <c r="G98" s="41"/>
      <c r="H98" s="41"/>
      <c r="I98" s="41"/>
      <c r="J98" s="42"/>
      <c r="K98" s="43"/>
      <c r="L98" s="42"/>
      <c r="M98" s="42"/>
      <c r="N98" s="43"/>
      <c r="O98" s="43"/>
      <c r="P98" s="43"/>
      <c r="Q98" s="43"/>
      <c r="R98" s="43"/>
      <c r="S98" s="3" t="e">
        <f t="shared" si="1"/>
        <v>#DIV/0!</v>
      </c>
    </row>
    <row r="99" spans="2:19" ht="15.75" customHeight="1" thickBot="1" x14ac:dyDescent="0.25">
      <c r="B99" s="41"/>
      <c r="C99" s="41"/>
      <c r="D99" s="41"/>
      <c r="E99" s="41"/>
      <c r="F99" s="41"/>
      <c r="G99" s="41"/>
      <c r="H99" s="41"/>
      <c r="I99" s="41"/>
      <c r="J99" s="42"/>
      <c r="K99" s="43"/>
      <c r="L99" s="42"/>
      <c r="M99" s="42"/>
      <c r="N99" s="43"/>
      <c r="O99" s="43"/>
      <c r="P99" s="43"/>
      <c r="Q99" s="43"/>
      <c r="R99" s="43"/>
      <c r="S99" s="3" t="e">
        <f t="shared" si="1"/>
        <v>#DIV/0!</v>
      </c>
    </row>
    <row r="100" spans="2:19" ht="15" customHeight="1" thickBot="1" x14ac:dyDescent="0.25">
      <c r="B100" s="41"/>
      <c r="C100" s="41"/>
      <c r="D100" s="41"/>
      <c r="E100" s="41"/>
      <c r="F100" s="41"/>
      <c r="G100" s="41"/>
      <c r="H100" s="41"/>
      <c r="I100" s="41"/>
      <c r="J100" s="42"/>
      <c r="K100" s="43"/>
      <c r="L100" s="42"/>
      <c r="M100" s="42"/>
      <c r="N100" s="43"/>
      <c r="O100" s="43"/>
      <c r="P100" s="43"/>
      <c r="Q100" s="43"/>
      <c r="R100" s="43"/>
      <c r="S100" s="3" t="e">
        <f t="shared" si="1"/>
        <v>#DIV/0!</v>
      </c>
    </row>
    <row r="101" spans="2:19" ht="15" customHeight="1" thickBot="1" x14ac:dyDescent="0.25">
      <c r="B101" s="44"/>
      <c r="C101" s="44"/>
      <c r="D101" s="44"/>
      <c r="E101" s="44"/>
      <c r="F101" s="44"/>
      <c r="G101" s="44"/>
      <c r="H101" s="44"/>
      <c r="I101" s="44"/>
      <c r="J101" s="45"/>
      <c r="K101" s="46"/>
      <c r="L101" s="45"/>
      <c r="M101" s="45"/>
      <c r="N101" s="46"/>
      <c r="O101" s="46"/>
      <c r="P101" s="46"/>
      <c r="Q101" s="46"/>
      <c r="R101" s="46"/>
      <c r="S101" s="3" t="e">
        <f t="shared" si="1"/>
        <v>#DIV/0!</v>
      </c>
    </row>
    <row r="102" spans="2:19" ht="15" customHeight="1" thickTop="1" thickBot="1" x14ac:dyDescent="0.25">
      <c r="B102" s="38"/>
      <c r="C102" s="38"/>
      <c r="D102" s="38"/>
      <c r="E102" s="38"/>
      <c r="F102" s="38"/>
      <c r="G102" s="38"/>
      <c r="H102" s="38"/>
      <c r="I102" s="38"/>
      <c r="J102" s="39"/>
      <c r="K102" s="40"/>
      <c r="L102" s="39"/>
      <c r="M102" s="39"/>
      <c r="N102" s="40"/>
      <c r="O102" s="40"/>
      <c r="P102" s="40"/>
      <c r="Q102" s="40"/>
      <c r="R102" s="40"/>
      <c r="S102" s="3" t="e">
        <f t="shared" si="1"/>
        <v>#DIV/0!</v>
      </c>
    </row>
    <row r="103" spans="2:19" ht="15" customHeight="1" thickBot="1" x14ac:dyDescent="0.25">
      <c r="B103" s="41"/>
      <c r="C103" s="41"/>
      <c r="D103" s="41"/>
      <c r="E103" s="41"/>
      <c r="F103" s="41"/>
      <c r="G103" s="41"/>
      <c r="H103" s="41"/>
      <c r="I103" s="41"/>
      <c r="J103" s="42"/>
      <c r="K103" s="43"/>
      <c r="L103" s="42"/>
      <c r="M103" s="42"/>
      <c r="N103" s="43"/>
      <c r="O103" s="43"/>
      <c r="P103" s="43"/>
      <c r="Q103" s="43"/>
      <c r="R103" s="43"/>
      <c r="S103" s="3" t="e">
        <f t="shared" si="1"/>
        <v>#DIV/0!</v>
      </c>
    </row>
    <row r="104" spans="2:19" ht="15" customHeight="1" thickBot="1" x14ac:dyDescent="0.25">
      <c r="B104" s="41"/>
      <c r="C104" s="41"/>
      <c r="D104" s="41"/>
      <c r="E104" s="41"/>
      <c r="F104" s="41"/>
      <c r="G104" s="41"/>
      <c r="H104" s="41"/>
      <c r="I104" s="41"/>
      <c r="J104" s="42"/>
      <c r="K104" s="43"/>
      <c r="L104" s="42"/>
      <c r="M104" s="42"/>
      <c r="N104" s="43"/>
      <c r="O104" s="43"/>
      <c r="P104" s="43"/>
      <c r="Q104" s="43"/>
      <c r="R104" s="43"/>
      <c r="S104" s="3" t="e">
        <f t="shared" si="1"/>
        <v>#DIV/0!</v>
      </c>
    </row>
    <row r="105" spans="2:19" ht="15.75" customHeight="1" thickBot="1" x14ac:dyDescent="0.25">
      <c r="B105" s="41"/>
      <c r="C105" s="41"/>
      <c r="D105" s="41"/>
      <c r="E105" s="41"/>
      <c r="F105" s="41"/>
      <c r="G105" s="41"/>
      <c r="H105" s="41"/>
      <c r="I105" s="41"/>
      <c r="J105" s="42"/>
      <c r="K105" s="43"/>
      <c r="L105" s="42"/>
      <c r="M105" s="42"/>
      <c r="N105" s="43"/>
      <c r="O105" s="43"/>
      <c r="P105" s="43"/>
      <c r="Q105" s="43"/>
      <c r="R105" s="43"/>
      <c r="S105" s="3" t="e">
        <f t="shared" si="1"/>
        <v>#DIV/0!</v>
      </c>
    </row>
    <row r="106" spans="2:19" ht="15" customHeight="1" thickBot="1" x14ac:dyDescent="0.25">
      <c r="B106" s="41"/>
      <c r="C106" s="41"/>
      <c r="D106" s="41"/>
      <c r="E106" s="41"/>
      <c r="F106" s="41"/>
      <c r="G106" s="41"/>
      <c r="H106" s="41"/>
      <c r="I106" s="41"/>
      <c r="J106" s="42"/>
      <c r="K106" s="43"/>
      <c r="L106" s="42"/>
      <c r="M106" s="42"/>
      <c r="N106" s="43"/>
      <c r="O106" s="43"/>
      <c r="P106" s="43"/>
      <c r="Q106" s="43"/>
      <c r="R106" s="43"/>
      <c r="S106" s="3" t="e">
        <f t="shared" si="1"/>
        <v>#DIV/0!</v>
      </c>
    </row>
    <row r="107" spans="2:19" ht="15" customHeight="1" thickBot="1" x14ac:dyDescent="0.25">
      <c r="B107" s="41"/>
      <c r="C107" s="41"/>
      <c r="D107" s="41"/>
      <c r="E107" s="41"/>
      <c r="F107" s="41"/>
      <c r="G107" s="41"/>
      <c r="H107" s="41"/>
      <c r="I107" s="41"/>
      <c r="J107" s="42"/>
      <c r="K107" s="43"/>
      <c r="L107" s="42"/>
      <c r="M107" s="42"/>
      <c r="N107" s="43"/>
      <c r="O107" s="43"/>
      <c r="P107" s="43"/>
      <c r="Q107" s="43"/>
      <c r="R107" s="43"/>
      <c r="S107" s="3" t="e">
        <f t="shared" si="1"/>
        <v>#DIV/0!</v>
      </c>
    </row>
    <row r="108" spans="2:19" ht="15" customHeight="1" thickBot="1" x14ac:dyDescent="0.25">
      <c r="B108" s="44"/>
      <c r="C108" s="44"/>
      <c r="D108" s="44"/>
      <c r="E108" s="44"/>
      <c r="F108" s="44"/>
      <c r="G108" s="44"/>
      <c r="H108" s="44"/>
      <c r="I108" s="44"/>
      <c r="J108" s="45"/>
      <c r="K108" s="46"/>
      <c r="L108" s="45"/>
      <c r="M108" s="45"/>
      <c r="N108" s="46"/>
      <c r="O108" s="46"/>
      <c r="P108" s="46"/>
      <c r="Q108" s="46"/>
      <c r="R108" s="46"/>
      <c r="S108" s="3" t="e">
        <f t="shared" si="1"/>
        <v>#DIV/0!</v>
      </c>
    </row>
    <row r="109" spans="2:19" ht="15" customHeight="1" thickTop="1" thickBot="1" x14ac:dyDescent="0.25">
      <c r="B109" s="38"/>
      <c r="C109" s="38"/>
      <c r="D109" s="38"/>
      <c r="E109" s="38"/>
      <c r="F109" s="38"/>
      <c r="G109" s="38"/>
      <c r="H109" s="38"/>
      <c r="I109" s="38"/>
      <c r="J109" s="39"/>
      <c r="K109" s="40"/>
      <c r="L109" s="39"/>
      <c r="M109" s="39"/>
      <c r="N109" s="40"/>
      <c r="O109" s="40"/>
      <c r="P109" s="40"/>
      <c r="Q109" s="40"/>
      <c r="R109" s="40"/>
      <c r="S109" s="3" t="e">
        <f t="shared" si="1"/>
        <v>#DIV/0!</v>
      </c>
    </row>
    <row r="110" spans="2:19" ht="15" customHeight="1" thickBot="1" x14ac:dyDescent="0.25">
      <c r="B110" s="41"/>
      <c r="C110" s="41"/>
      <c r="D110" s="41"/>
      <c r="E110" s="41"/>
      <c r="F110" s="41"/>
      <c r="G110" s="41"/>
      <c r="H110" s="41"/>
      <c r="I110" s="41"/>
      <c r="J110" s="42"/>
      <c r="K110" s="43"/>
      <c r="L110" s="42"/>
      <c r="M110" s="42"/>
      <c r="N110" s="43"/>
      <c r="O110" s="43"/>
      <c r="P110" s="43"/>
      <c r="Q110" s="43"/>
      <c r="R110" s="43"/>
      <c r="S110" s="3" t="e">
        <f t="shared" si="1"/>
        <v>#DIV/0!</v>
      </c>
    </row>
    <row r="111" spans="2:19" ht="15.75" customHeight="1" thickBot="1" x14ac:dyDescent="0.25">
      <c r="B111" s="41"/>
      <c r="C111" s="41"/>
      <c r="D111" s="41"/>
      <c r="E111" s="41"/>
      <c r="F111" s="41"/>
      <c r="G111" s="41"/>
      <c r="H111" s="41"/>
      <c r="I111" s="41"/>
      <c r="J111" s="42"/>
      <c r="K111" s="43"/>
      <c r="L111" s="42"/>
      <c r="M111" s="42"/>
      <c r="N111" s="43"/>
      <c r="O111" s="43"/>
      <c r="P111" s="43"/>
      <c r="Q111" s="43"/>
      <c r="R111" s="43"/>
      <c r="S111" s="3" t="e">
        <f t="shared" si="1"/>
        <v>#DIV/0!</v>
      </c>
    </row>
    <row r="112" spans="2:19" ht="15" customHeight="1" thickBot="1" x14ac:dyDescent="0.25">
      <c r="B112" s="41"/>
      <c r="C112" s="41"/>
      <c r="D112" s="41"/>
      <c r="E112" s="41"/>
      <c r="F112" s="41"/>
      <c r="G112" s="41"/>
      <c r="H112" s="41"/>
      <c r="I112" s="41"/>
      <c r="J112" s="42"/>
      <c r="K112" s="43"/>
      <c r="L112" s="42"/>
      <c r="M112" s="42"/>
      <c r="N112" s="43"/>
      <c r="O112" s="43"/>
      <c r="P112" s="43"/>
      <c r="Q112" s="43"/>
      <c r="R112" s="43"/>
      <c r="S112" s="3" t="e">
        <f t="shared" si="1"/>
        <v>#DIV/0!</v>
      </c>
    </row>
    <row r="113" spans="2:19" ht="15" customHeight="1" thickBot="1" x14ac:dyDescent="0.25">
      <c r="B113" s="41"/>
      <c r="C113" s="41"/>
      <c r="D113" s="41"/>
      <c r="E113" s="41"/>
      <c r="F113" s="41"/>
      <c r="G113" s="41"/>
      <c r="H113" s="41"/>
      <c r="I113" s="41"/>
      <c r="J113" s="42"/>
      <c r="K113" s="43"/>
      <c r="L113" s="42"/>
      <c r="M113" s="42"/>
      <c r="N113" s="43"/>
      <c r="O113" s="43"/>
      <c r="P113" s="43"/>
      <c r="Q113" s="43"/>
      <c r="R113" s="43"/>
      <c r="S113" s="3" t="e">
        <f t="shared" si="1"/>
        <v>#DIV/0!</v>
      </c>
    </row>
    <row r="114" spans="2:19" ht="15" customHeight="1" thickBot="1" x14ac:dyDescent="0.25">
      <c r="B114" s="41"/>
      <c r="C114" s="41"/>
      <c r="D114" s="41"/>
      <c r="E114" s="41"/>
      <c r="F114" s="41"/>
      <c r="G114" s="41"/>
      <c r="H114" s="41"/>
      <c r="I114" s="41"/>
      <c r="J114" s="42"/>
      <c r="K114" s="43"/>
      <c r="L114" s="42"/>
      <c r="M114" s="42"/>
      <c r="N114" s="43"/>
      <c r="O114" s="43"/>
      <c r="P114" s="43"/>
      <c r="Q114" s="43"/>
      <c r="R114" s="43"/>
      <c r="S114" s="3" t="e">
        <f t="shared" si="1"/>
        <v>#DIV/0!</v>
      </c>
    </row>
    <row r="115" spans="2:19" ht="15" customHeight="1" thickBot="1" x14ac:dyDescent="0.25">
      <c r="B115" s="44"/>
      <c r="C115" s="44"/>
      <c r="D115" s="44"/>
      <c r="E115" s="44"/>
      <c r="F115" s="44"/>
      <c r="G115" s="44"/>
      <c r="H115" s="44"/>
      <c r="I115" s="44"/>
      <c r="J115" s="45"/>
      <c r="K115" s="46"/>
      <c r="L115" s="45"/>
      <c r="M115" s="45"/>
      <c r="N115" s="46"/>
      <c r="O115" s="46"/>
      <c r="P115" s="46"/>
      <c r="Q115" s="46"/>
      <c r="R115" s="46"/>
      <c r="S115" s="3" t="e">
        <f t="shared" si="1"/>
        <v>#DIV/0!</v>
      </c>
    </row>
    <row r="116" spans="2:19" ht="15" customHeight="1" thickTop="1" thickBot="1" x14ac:dyDescent="0.25">
      <c r="B116" s="38"/>
      <c r="C116" s="38"/>
      <c r="D116" s="38"/>
      <c r="E116" s="38"/>
      <c r="F116" s="38"/>
      <c r="G116" s="38"/>
      <c r="H116" s="38"/>
      <c r="I116" s="38"/>
      <c r="J116" s="39"/>
      <c r="K116" s="40"/>
      <c r="L116" s="39"/>
      <c r="M116" s="39"/>
      <c r="N116" s="40"/>
      <c r="O116" s="40"/>
      <c r="P116" s="40"/>
      <c r="Q116" s="40"/>
      <c r="R116" s="40"/>
      <c r="S116" s="3" t="e">
        <f t="shared" si="1"/>
        <v>#DIV/0!</v>
      </c>
    </row>
    <row r="117" spans="2:19" ht="15.75" customHeight="1" thickBot="1" x14ac:dyDescent="0.25">
      <c r="B117" s="41"/>
      <c r="C117" s="41"/>
      <c r="D117" s="41"/>
      <c r="E117" s="41"/>
      <c r="F117" s="41"/>
      <c r="G117" s="41"/>
      <c r="H117" s="41"/>
      <c r="I117" s="41"/>
      <c r="J117" s="42"/>
      <c r="K117" s="43"/>
      <c r="L117" s="42"/>
      <c r="M117" s="42"/>
      <c r="N117" s="43"/>
      <c r="O117" s="43"/>
      <c r="P117" s="43"/>
      <c r="Q117" s="43"/>
      <c r="R117" s="43"/>
      <c r="S117" s="3" t="e">
        <f t="shared" si="1"/>
        <v>#DIV/0!</v>
      </c>
    </row>
    <row r="118" spans="2:19" ht="15" customHeight="1" thickBot="1" x14ac:dyDescent="0.25">
      <c r="B118" s="41"/>
      <c r="C118" s="41"/>
      <c r="D118" s="41"/>
      <c r="E118" s="41"/>
      <c r="F118" s="41"/>
      <c r="G118" s="41"/>
      <c r="H118" s="41"/>
      <c r="I118" s="41"/>
      <c r="J118" s="42"/>
      <c r="K118" s="43"/>
      <c r="L118" s="42"/>
      <c r="M118" s="42"/>
      <c r="N118" s="43"/>
      <c r="O118" s="43"/>
      <c r="P118" s="43"/>
      <c r="Q118" s="43"/>
      <c r="R118" s="43"/>
      <c r="S118" s="3" t="e">
        <f t="shared" si="1"/>
        <v>#DIV/0!</v>
      </c>
    </row>
    <row r="119" spans="2:19" ht="15" customHeight="1" thickBot="1" x14ac:dyDescent="0.25">
      <c r="B119" s="41"/>
      <c r="C119" s="41"/>
      <c r="D119" s="41"/>
      <c r="E119" s="41"/>
      <c r="F119" s="41"/>
      <c r="G119" s="41"/>
      <c r="H119" s="41"/>
      <c r="I119" s="41"/>
      <c r="J119" s="42"/>
      <c r="K119" s="43"/>
      <c r="L119" s="42"/>
      <c r="M119" s="42"/>
      <c r="N119" s="43"/>
      <c r="O119" s="43"/>
      <c r="P119" s="43"/>
      <c r="Q119" s="43"/>
      <c r="R119" s="43"/>
      <c r="S119" s="3" t="e">
        <f t="shared" si="1"/>
        <v>#DIV/0!</v>
      </c>
    </row>
    <row r="120" spans="2:19" ht="15" customHeight="1" thickBot="1" x14ac:dyDescent="0.25">
      <c r="B120" s="41"/>
      <c r="C120" s="41"/>
      <c r="D120" s="41"/>
      <c r="E120" s="41"/>
      <c r="F120" s="41"/>
      <c r="G120" s="41"/>
      <c r="H120" s="41"/>
      <c r="I120" s="41"/>
      <c r="J120" s="42"/>
      <c r="K120" s="43"/>
      <c r="L120" s="42"/>
      <c r="M120" s="42"/>
      <c r="N120" s="43"/>
      <c r="O120" s="43"/>
      <c r="P120" s="43"/>
      <c r="Q120" s="43"/>
      <c r="R120" s="43"/>
      <c r="S120" s="3" t="e">
        <f t="shared" si="1"/>
        <v>#DIV/0!</v>
      </c>
    </row>
    <row r="121" spans="2:19" ht="15" customHeight="1" thickBot="1" x14ac:dyDescent="0.25">
      <c r="B121" s="41"/>
      <c r="C121" s="41"/>
      <c r="D121" s="41"/>
      <c r="E121" s="41"/>
      <c r="F121" s="41"/>
      <c r="G121" s="41"/>
      <c r="H121" s="41"/>
      <c r="I121" s="41"/>
      <c r="J121" s="42"/>
      <c r="K121" s="43"/>
      <c r="L121" s="42"/>
      <c r="M121" s="42"/>
      <c r="N121" s="43"/>
      <c r="O121" s="43"/>
      <c r="P121" s="43"/>
      <c r="Q121" s="43"/>
      <c r="R121" s="43"/>
      <c r="S121" s="3" t="e">
        <f t="shared" si="1"/>
        <v>#DIV/0!</v>
      </c>
    </row>
    <row r="122" spans="2:19" ht="15" customHeight="1" thickBot="1" x14ac:dyDescent="0.25">
      <c r="B122" s="44"/>
      <c r="C122" s="44"/>
      <c r="D122" s="44"/>
      <c r="E122" s="44"/>
      <c r="F122" s="44"/>
      <c r="G122" s="44"/>
      <c r="H122" s="44"/>
      <c r="I122" s="44"/>
      <c r="J122" s="45"/>
      <c r="K122" s="46"/>
      <c r="L122" s="45"/>
      <c r="M122" s="45"/>
      <c r="N122" s="46"/>
      <c r="O122" s="46"/>
      <c r="P122" s="46"/>
      <c r="Q122" s="46"/>
      <c r="R122" s="46"/>
      <c r="S122" s="3" t="e">
        <f t="shared" si="1"/>
        <v>#DIV/0!</v>
      </c>
    </row>
    <row r="123" spans="2:19" ht="15.75" customHeight="1" thickTop="1" thickBot="1" x14ac:dyDescent="0.25">
      <c r="B123" s="38"/>
      <c r="C123" s="38"/>
      <c r="D123" s="38"/>
      <c r="E123" s="38"/>
      <c r="F123" s="38"/>
      <c r="G123" s="38"/>
      <c r="H123" s="38"/>
      <c r="I123" s="38"/>
      <c r="J123" s="39"/>
      <c r="K123" s="40"/>
      <c r="L123" s="39"/>
      <c r="M123" s="39"/>
      <c r="N123" s="40"/>
      <c r="O123" s="40"/>
      <c r="P123" s="40"/>
      <c r="Q123" s="40"/>
      <c r="R123" s="40"/>
      <c r="S123" s="3" t="e">
        <f t="shared" si="1"/>
        <v>#DIV/0!</v>
      </c>
    </row>
    <row r="124" spans="2:19" ht="15.75" customHeight="1" thickBot="1" x14ac:dyDescent="0.25">
      <c r="B124" s="41"/>
      <c r="C124" s="41"/>
      <c r="D124" s="41"/>
      <c r="E124" s="41"/>
      <c r="F124" s="41"/>
      <c r="G124" s="41"/>
      <c r="H124" s="41"/>
      <c r="I124" s="41"/>
      <c r="J124" s="42"/>
      <c r="K124" s="43"/>
      <c r="L124" s="42"/>
      <c r="M124" s="42"/>
      <c r="N124" s="43"/>
      <c r="O124" s="43"/>
      <c r="P124" s="43"/>
      <c r="Q124" s="43"/>
      <c r="R124" s="43"/>
      <c r="S124" s="3" t="e">
        <f t="shared" si="1"/>
        <v>#DIV/0!</v>
      </c>
    </row>
    <row r="125" spans="2:19" ht="15" customHeight="1" thickBot="1" x14ac:dyDescent="0.25">
      <c r="B125" s="41"/>
      <c r="C125" s="41"/>
      <c r="D125" s="41"/>
      <c r="E125" s="41"/>
      <c r="F125" s="41"/>
      <c r="G125" s="41"/>
      <c r="H125" s="41"/>
      <c r="I125" s="41"/>
      <c r="J125" s="42"/>
      <c r="K125" s="43"/>
      <c r="L125" s="42"/>
      <c r="M125" s="42"/>
      <c r="N125" s="43"/>
      <c r="O125" s="43"/>
      <c r="P125" s="43"/>
      <c r="Q125" s="43"/>
      <c r="R125" s="43"/>
      <c r="S125" s="3" t="e">
        <f t="shared" si="1"/>
        <v>#DIV/0!</v>
      </c>
    </row>
    <row r="126" spans="2:19" ht="15" customHeight="1" thickBot="1" x14ac:dyDescent="0.25">
      <c r="B126" s="41"/>
      <c r="C126" s="41"/>
      <c r="D126" s="41"/>
      <c r="E126" s="41"/>
      <c r="F126" s="41"/>
      <c r="G126" s="41"/>
      <c r="H126" s="41"/>
      <c r="I126" s="41"/>
      <c r="J126" s="42"/>
      <c r="K126" s="43"/>
      <c r="L126" s="42"/>
      <c r="M126" s="42"/>
      <c r="N126" s="43"/>
      <c r="O126" s="43"/>
      <c r="P126" s="43"/>
      <c r="Q126" s="43"/>
      <c r="R126" s="43"/>
      <c r="S126" s="3" t="e">
        <f t="shared" si="1"/>
        <v>#DIV/0!</v>
      </c>
    </row>
    <row r="127" spans="2:19" ht="15" customHeight="1" thickBot="1" x14ac:dyDescent="0.25">
      <c r="B127" s="41"/>
      <c r="C127" s="41"/>
      <c r="D127" s="41"/>
      <c r="E127" s="41"/>
      <c r="F127" s="41"/>
      <c r="G127" s="41"/>
      <c r="H127" s="41"/>
      <c r="I127" s="41"/>
      <c r="J127" s="42"/>
      <c r="K127" s="43"/>
      <c r="L127" s="42"/>
      <c r="M127" s="42"/>
      <c r="N127" s="43"/>
      <c r="O127" s="43"/>
      <c r="P127" s="43"/>
      <c r="Q127" s="43"/>
      <c r="R127" s="43"/>
      <c r="S127" s="3" t="e">
        <f t="shared" si="1"/>
        <v>#DIV/0!</v>
      </c>
    </row>
    <row r="128" spans="2:19" ht="15" customHeight="1" thickBot="1" x14ac:dyDescent="0.25">
      <c r="B128" s="41"/>
      <c r="C128" s="41"/>
      <c r="D128" s="41"/>
      <c r="E128" s="41"/>
      <c r="F128" s="41"/>
      <c r="G128" s="41"/>
      <c r="H128" s="41"/>
      <c r="I128" s="41"/>
      <c r="J128" s="42"/>
      <c r="K128" s="43"/>
      <c r="L128" s="42"/>
      <c r="M128" s="42"/>
      <c r="N128" s="43"/>
      <c r="O128" s="43"/>
      <c r="P128" s="43"/>
      <c r="Q128" s="43"/>
      <c r="R128" s="43"/>
      <c r="S128" s="3" t="e">
        <f t="shared" si="1"/>
        <v>#DIV/0!</v>
      </c>
    </row>
    <row r="129" spans="2:19" ht="15.75" customHeight="1" thickBot="1" x14ac:dyDescent="0.25">
      <c r="B129" s="44"/>
      <c r="C129" s="44"/>
      <c r="D129" s="44"/>
      <c r="E129" s="44"/>
      <c r="F129" s="44"/>
      <c r="G129" s="44"/>
      <c r="H129" s="44"/>
      <c r="I129" s="44"/>
      <c r="J129" s="45"/>
      <c r="K129" s="46"/>
      <c r="L129" s="45"/>
      <c r="M129" s="45"/>
      <c r="N129" s="46"/>
      <c r="O129" s="46"/>
      <c r="P129" s="46"/>
      <c r="Q129" s="46"/>
      <c r="R129" s="46"/>
      <c r="S129" s="3" t="e">
        <f t="shared" si="1"/>
        <v>#DIV/0!</v>
      </c>
    </row>
    <row r="130" spans="2:19" ht="15" customHeight="1" thickTop="1" x14ac:dyDescent="0.2"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</row>
    <row r="131" spans="2:19" ht="15" customHeight="1" x14ac:dyDescent="0.2"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</row>
    <row r="132" spans="2:19" ht="15" customHeight="1" x14ac:dyDescent="0.2"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</row>
    <row r="133" spans="2:19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</row>
    <row r="134" spans="2:19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</row>
    <row r="135" spans="2:19" ht="15.7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</row>
    <row r="136" spans="2:19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</row>
    <row r="137" spans="2:19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</row>
    <row r="138" spans="2:19" ht="15" customHeight="1" x14ac:dyDescent="0.2"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</row>
    <row r="139" spans="2:19" ht="15" customHeight="1" x14ac:dyDescent="0.2"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</row>
    <row r="140" spans="2:19" ht="15" customHeight="1" x14ac:dyDescent="0.2"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</row>
    <row r="141" spans="2:19" ht="15.75" customHeight="1" x14ac:dyDescent="0.2"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</row>
    <row r="142" spans="2:19" ht="15" customHeight="1" x14ac:dyDescent="0.2"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</row>
    <row r="143" spans="2:19" ht="15" customHeight="1" x14ac:dyDescent="0.2"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</row>
    <row r="144" spans="2:19" ht="15" customHeight="1" x14ac:dyDescent="0.2"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</row>
    <row r="145" spans="2:18" ht="15" customHeight="1" x14ac:dyDescent="0.2"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</row>
    <row r="146" spans="2:18" ht="15" customHeight="1" x14ac:dyDescent="0.2"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</row>
    <row r="147" spans="2:18" ht="15.75" customHeight="1" x14ac:dyDescent="0.2"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</row>
    <row r="148" spans="2:18" ht="15" customHeight="1" x14ac:dyDescent="0.2"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</row>
    <row r="149" spans="2:18" ht="15" customHeight="1" x14ac:dyDescent="0.2"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</row>
    <row r="150" spans="2:18" ht="15" customHeight="1" x14ac:dyDescent="0.2"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</row>
    <row r="151" spans="2:18" ht="15" customHeight="1" x14ac:dyDescent="0.2"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</row>
    <row r="152" spans="2:18" ht="15" customHeight="1" x14ac:dyDescent="0.2"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</row>
    <row r="153" spans="2:18" ht="15.75" customHeight="1" x14ac:dyDescent="0.2"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</row>
    <row r="154" spans="2:18" ht="15" customHeight="1" x14ac:dyDescent="0.2"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</row>
    <row r="155" spans="2:18" ht="15" customHeight="1" x14ac:dyDescent="0.2"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</row>
    <row r="156" spans="2:18" ht="15" customHeight="1" x14ac:dyDescent="0.2"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</row>
    <row r="157" spans="2:18" ht="15" customHeight="1" x14ac:dyDescent="0.2"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</row>
    <row r="158" spans="2:18" ht="15" customHeight="1" x14ac:dyDescent="0.2"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</row>
    <row r="159" spans="2:18" ht="15.75" customHeight="1" x14ac:dyDescent="0.2"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</row>
    <row r="160" spans="2:18" ht="15" customHeight="1" x14ac:dyDescent="0.2"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</row>
    <row r="161" spans="2:18" ht="15" customHeight="1" x14ac:dyDescent="0.2"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</row>
    <row r="162" spans="2:18" ht="15" customHeight="1" x14ac:dyDescent="0.2"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</row>
    <row r="163" spans="2:18" ht="15" customHeight="1" x14ac:dyDescent="0.2"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</row>
    <row r="164" spans="2:18" ht="15" customHeight="1" x14ac:dyDescent="0.2"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</row>
    <row r="165" spans="2:18" ht="15.75" customHeight="1" x14ac:dyDescent="0.2"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</row>
    <row r="166" spans="2:18" ht="15" customHeight="1" x14ac:dyDescent="0.2"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</row>
    <row r="167" spans="2:18" ht="15" customHeight="1" x14ac:dyDescent="0.2"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2:18" ht="15" customHeight="1" x14ac:dyDescent="0.2"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</row>
    <row r="169" spans="2:18" ht="15" customHeight="1" x14ac:dyDescent="0.2"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</row>
    <row r="170" spans="2:18" ht="15" customHeight="1" x14ac:dyDescent="0.2"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2:18" ht="15.75" customHeight="1" x14ac:dyDescent="0.2"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</row>
    <row r="172" spans="2:18" ht="15" customHeight="1" x14ac:dyDescent="0.2"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</row>
    <row r="173" spans="2:18" ht="15" customHeight="1" x14ac:dyDescent="0.2"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2:18" ht="15" customHeight="1" x14ac:dyDescent="0.2"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</row>
    <row r="175" spans="2:18" ht="15" customHeight="1" x14ac:dyDescent="0.2"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</row>
    <row r="176" spans="2:18" ht="15" customHeight="1" x14ac:dyDescent="0.2"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2:18" ht="15.75" customHeight="1" x14ac:dyDescent="0.2"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</row>
    <row r="178" spans="2:18" ht="15.75" customHeight="1" x14ac:dyDescent="0.2"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</row>
    <row r="179" spans="2:18" ht="15" customHeight="1" x14ac:dyDescent="0.2"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</row>
    <row r="180" spans="2:18" ht="15" customHeight="1" x14ac:dyDescent="0.2"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2:18" ht="15" customHeight="1" x14ac:dyDescent="0.2"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</row>
    <row r="182" spans="2:18" ht="15" customHeight="1" x14ac:dyDescent="0.2"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</row>
    <row r="183" spans="2:18" ht="15.75" customHeight="1" x14ac:dyDescent="0.2"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2:18" ht="15" customHeight="1" x14ac:dyDescent="0.2"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</row>
    <row r="185" spans="2:18" ht="15" customHeight="1" x14ac:dyDescent="0.2"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</row>
    <row r="186" spans="2:18" ht="15" customHeight="1" x14ac:dyDescent="0.2"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</row>
    <row r="187" spans="2:18" ht="15" customHeight="1" x14ac:dyDescent="0.2"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</row>
    <row r="188" spans="2:18" ht="15" customHeight="1" x14ac:dyDescent="0.2"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</row>
    <row r="189" spans="2:18" ht="15.75" customHeight="1" x14ac:dyDescent="0.2"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</row>
    <row r="190" spans="2:18" ht="15" customHeight="1" x14ac:dyDescent="0.2"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</row>
    <row r="191" spans="2:18" ht="15" customHeight="1" x14ac:dyDescent="0.2"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</row>
    <row r="192" spans="2:18" ht="15" customHeight="1" x14ac:dyDescent="0.2"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</row>
    <row r="193" spans="2:18" ht="15" customHeight="1" x14ac:dyDescent="0.2"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</row>
    <row r="194" spans="2:18" ht="15" customHeight="1" x14ac:dyDescent="0.2"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</row>
    <row r="195" spans="2:18" ht="15.75" customHeight="1" x14ac:dyDescent="0.2"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</row>
    <row r="196" spans="2:18" ht="15" customHeight="1" x14ac:dyDescent="0.2"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</row>
    <row r="197" spans="2:18" ht="15" customHeight="1" x14ac:dyDescent="0.2"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</row>
    <row r="198" spans="2:18" ht="15" customHeight="1" x14ac:dyDescent="0.2"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</row>
    <row r="199" spans="2:18" ht="15" customHeight="1" x14ac:dyDescent="0.2"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</row>
    <row r="200" spans="2:18" ht="15" customHeight="1" x14ac:dyDescent="0.2"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</row>
    <row r="201" spans="2:18" ht="15.75" customHeight="1" x14ac:dyDescent="0.2"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</row>
    <row r="202" spans="2:18" ht="15" customHeight="1" x14ac:dyDescent="0.2"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</row>
    <row r="203" spans="2:18" ht="15" customHeight="1" x14ac:dyDescent="0.2"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</row>
    <row r="204" spans="2:18" ht="15" customHeight="1" x14ac:dyDescent="0.2"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</row>
    <row r="205" spans="2:18" ht="15" customHeight="1" x14ac:dyDescent="0.2"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</row>
    <row r="206" spans="2:18" ht="15" customHeight="1" x14ac:dyDescent="0.2"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</row>
    <row r="207" spans="2:18" ht="15.75" customHeight="1" x14ac:dyDescent="0.2"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</row>
    <row r="208" spans="2:18" ht="15" customHeight="1" x14ac:dyDescent="0.2"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</row>
    <row r="209" spans="2:18" ht="15" customHeight="1" x14ac:dyDescent="0.2"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</row>
    <row r="210" spans="2:18" ht="15" customHeight="1" x14ac:dyDescent="0.2"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</row>
    <row r="211" spans="2:18" ht="15" customHeight="1" x14ac:dyDescent="0.2"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</row>
    <row r="212" spans="2:18" ht="15" customHeight="1" x14ac:dyDescent="0.2"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</row>
    <row r="213" spans="2:18" ht="15.75" customHeight="1" x14ac:dyDescent="0.2"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</row>
    <row r="214" spans="2:18" ht="15" customHeight="1" x14ac:dyDescent="0.2"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</row>
    <row r="215" spans="2:18" ht="15" customHeight="1" x14ac:dyDescent="0.2"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</row>
    <row r="216" spans="2:18" ht="15" customHeight="1" x14ac:dyDescent="0.2"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</row>
    <row r="217" spans="2:18" ht="15" customHeight="1" x14ac:dyDescent="0.2"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</row>
    <row r="218" spans="2:18" ht="15" customHeight="1" x14ac:dyDescent="0.2"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</row>
    <row r="219" spans="2:18" ht="15.75" customHeight="1" x14ac:dyDescent="0.2"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</row>
    <row r="220" spans="2:18" ht="15" customHeight="1" x14ac:dyDescent="0.2"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</row>
    <row r="221" spans="2:18" ht="15" customHeight="1" x14ac:dyDescent="0.2"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</row>
    <row r="222" spans="2:18" ht="15" customHeight="1" x14ac:dyDescent="0.2"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</row>
    <row r="223" spans="2:18" ht="15" customHeight="1" x14ac:dyDescent="0.2"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</row>
    <row r="224" spans="2:18" ht="15" customHeight="1" x14ac:dyDescent="0.2"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</row>
    <row r="225" spans="2:18" ht="15.75" customHeight="1" x14ac:dyDescent="0.2"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</row>
    <row r="226" spans="2:18" ht="15" customHeight="1" x14ac:dyDescent="0.2"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</row>
    <row r="227" spans="2:18" ht="15" customHeight="1" x14ac:dyDescent="0.2"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</row>
    <row r="228" spans="2:18" ht="15" customHeight="1" x14ac:dyDescent="0.2"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</row>
    <row r="229" spans="2:18" ht="15" customHeight="1" x14ac:dyDescent="0.2"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</row>
    <row r="230" spans="2:18" ht="15" customHeight="1" x14ac:dyDescent="0.2"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</row>
    <row r="231" spans="2:18" ht="15.75" customHeight="1" x14ac:dyDescent="0.2"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</row>
    <row r="232" spans="2:18" ht="15.75" customHeight="1" x14ac:dyDescent="0.2"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</row>
    <row r="233" spans="2:18" ht="15" customHeight="1" x14ac:dyDescent="0.2"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</row>
    <row r="234" spans="2:18" ht="15" customHeight="1" x14ac:dyDescent="0.2"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</row>
    <row r="235" spans="2:18" ht="15" customHeight="1" x14ac:dyDescent="0.2"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</row>
    <row r="236" spans="2:18" ht="15" customHeight="1" x14ac:dyDescent="0.2"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</row>
    <row r="237" spans="2:18" ht="15.75" customHeight="1" x14ac:dyDescent="0.2"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</row>
    <row r="238" spans="2:18" ht="15" customHeight="1" x14ac:dyDescent="0.2"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</row>
    <row r="239" spans="2:18" ht="15" customHeight="1" x14ac:dyDescent="0.2"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</row>
    <row r="240" spans="2:18" ht="15" customHeight="1" x14ac:dyDescent="0.2"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</row>
    <row r="241" spans="2:18" ht="15" customHeight="1" x14ac:dyDescent="0.2"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</row>
    <row r="242" spans="2:18" ht="15" customHeight="1" x14ac:dyDescent="0.2"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</row>
    <row r="243" spans="2:18" ht="15.75" customHeight="1" x14ac:dyDescent="0.2"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</row>
    <row r="244" spans="2:18" ht="15" customHeight="1" x14ac:dyDescent="0.2"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</row>
    <row r="245" spans="2:18" ht="15" customHeight="1" x14ac:dyDescent="0.2"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</row>
    <row r="246" spans="2:18" ht="15" customHeight="1" x14ac:dyDescent="0.2"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</row>
    <row r="247" spans="2:18" ht="15" customHeight="1" x14ac:dyDescent="0.2"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</row>
    <row r="248" spans="2:18" ht="15" customHeight="1" x14ac:dyDescent="0.2"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</row>
    <row r="249" spans="2:18" ht="15.75" customHeight="1" x14ac:dyDescent="0.2"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</row>
    <row r="250" spans="2:18" ht="15" customHeight="1" x14ac:dyDescent="0.2"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</row>
    <row r="251" spans="2:18" ht="15" customHeight="1" x14ac:dyDescent="0.2"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</row>
    <row r="252" spans="2:18" ht="15" customHeight="1" x14ac:dyDescent="0.2"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</row>
    <row r="253" spans="2:18" ht="15" customHeight="1" x14ac:dyDescent="0.2"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</row>
    <row r="254" spans="2:18" ht="15" customHeight="1" x14ac:dyDescent="0.2"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</row>
    <row r="255" spans="2:18" ht="15.75" customHeight="1" x14ac:dyDescent="0.2"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</row>
    <row r="256" spans="2:18" ht="15" customHeight="1" x14ac:dyDescent="0.2"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</row>
    <row r="257" spans="2:18" ht="15" customHeight="1" x14ac:dyDescent="0.2"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</row>
    <row r="258" spans="2:18" ht="15" customHeight="1" x14ac:dyDescent="0.2"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</row>
    <row r="259" spans="2:18" ht="15" customHeight="1" x14ac:dyDescent="0.2"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</row>
    <row r="260" spans="2:18" ht="15" customHeight="1" x14ac:dyDescent="0.2"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</row>
    <row r="261" spans="2:18" ht="15.75" customHeight="1" x14ac:dyDescent="0.2"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</row>
    <row r="262" spans="2:18" ht="15" customHeight="1" x14ac:dyDescent="0.2"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</row>
    <row r="263" spans="2:18" ht="15" customHeight="1" x14ac:dyDescent="0.2"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</row>
    <row r="264" spans="2:18" ht="15" customHeight="1" x14ac:dyDescent="0.2"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</row>
    <row r="265" spans="2:18" ht="15" customHeight="1" x14ac:dyDescent="0.2"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</row>
    <row r="266" spans="2:18" ht="15" customHeight="1" x14ac:dyDescent="0.2"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</row>
    <row r="267" spans="2:18" ht="15.75" customHeight="1" x14ac:dyDescent="0.2"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</row>
    <row r="268" spans="2:18" ht="15" customHeight="1" x14ac:dyDescent="0.2"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</row>
    <row r="269" spans="2:18" ht="15" customHeight="1" x14ac:dyDescent="0.2"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</row>
    <row r="270" spans="2:18" ht="15" customHeight="1" x14ac:dyDescent="0.2"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</row>
    <row r="271" spans="2:18" ht="15" customHeight="1" x14ac:dyDescent="0.2"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</row>
    <row r="272" spans="2:18" ht="15" customHeight="1" x14ac:dyDescent="0.2"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</row>
    <row r="273" spans="2:18" ht="15.75" customHeight="1" x14ac:dyDescent="0.2"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</row>
    <row r="274" spans="2:18" ht="15" customHeight="1" x14ac:dyDescent="0.2"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</row>
    <row r="275" spans="2:18" ht="15" customHeight="1" x14ac:dyDescent="0.2"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</row>
    <row r="276" spans="2:18" ht="15" customHeight="1" x14ac:dyDescent="0.2"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</row>
    <row r="277" spans="2:18" ht="15" customHeight="1" x14ac:dyDescent="0.2"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</row>
    <row r="278" spans="2:18" ht="15" customHeight="1" x14ac:dyDescent="0.2"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</row>
    <row r="279" spans="2:18" ht="15.75" customHeight="1" x14ac:dyDescent="0.2"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</row>
    <row r="280" spans="2:18" ht="15" customHeight="1" x14ac:dyDescent="0.2"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</row>
    <row r="281" spans="2:18" ht="15" customHeight="1" x14ac:dyDescent="0.2"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</row>
    <row r="282" spans="2:18" ht="15" customHeight="1" x14ac:dyDescent="0.2"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</row>
    <row r="283" spans="2:18" ht="15" customHeight="1" x14ac:dyDescent="0.2"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</row>
    <row r="284" spans="2:18" ht="15" customHeight="1" x14ac:dyDescent="0.2"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</row>
    <row r="285" spans="2:18" ht="15.75" customHeight="1" x14ac:dyDescent="0.2"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</row>
    <row r="286" spans="2:18" ht="15.75" customHeight="1" x14ac:dyDescent="0.2"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</row>
    <row r="287" spans="2:18" ht="15" customHeight="1" x14ac:dyDescent="0.2"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</row>
    <row r="288" spans="2:18" ht="15" customHeight="1" x14ac:dyDescent="0.2"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</row>
    <row r="289" spans="2:18" ht="15" customHeight="1" x14ac:dyDescent="0.2"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</row>
    <row r="290" spans="2:18" ht="15" customHeight="1" x14ac:dyDescent="0.2"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</row>
    <row r="291" spans="2:18" ht="15.75" customHeight="1" x14ac:dyDescent="0.2"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</row>
    <row r="292" spans="2:18" ht="15" customHeight="1" x14ac:dyDescent="0.2"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</row>
    <row r="293" spans="2:18" ht="15" customHeight="1" x14ac:dyDescent="0.2"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</row>
    <row r="294" spans="2:18" ht="15" customHeight="1" x14ac:dyDescent="0.2"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</row>
    <row r="295" spans="2:18" ht="15" customHeight="1" x14ac:dyDescent="0.2"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</row>
    <row r="296" spans="2:18" ht="15" customHeight="1" x14ac:dyDescent="0.2"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</row>
    <row r="297" spans="2:18" ht="15.75" customHeight="1" x14ac:dyDescent="0.2"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</row>
    <row r="298" spans="2:18" ht="15" customHeight="1" x14ac:dyDescent="0.2"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</row>
    <row r="299" spans="2:18" ht="15" customHeight="1" x14ac:dyDescent="0.2"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</row>
    <row r="300" spans="2:18" ht="15" customHeight="1" x14ac:dyDescent="0.2"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</row>
    <row r="301" spans="2:18" ht="15" customHeight="1" x14ac:dyDescent="0.2"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</row>
    <row r="302" spans="2:18" ht="15" customHeight="1" x14ac:dyDescent="0.2"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</row>
    <row r="303" spans="2:18" ht="15.75" customHeight="1" x14ac:dyDescent="0.2"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</row>
    <row r="304" spans="2:18" ht="15" customHeight="1" x14ac:dyDescent="0.2"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</row>
    <row r="305" spans="2:18" ht="15" customHeight="1" x14ac:dyDescent="0.2"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</row>
    <row r="306" spans="2:18" ht="15" customHeight="1" x14ac:dyDescent="0.2"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</row>
    <row r="307" spans="2:18" ht="15" customHeight="1" x14ac:dyDescent="0.2"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</row>
    <row r="308" spans="2:18" ht="15" customHeight="1" x14ac:dyDescent="0.2"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</row>
    <row r="309" spans="2:18" ht="15.75" customHeight="1" x14ac:dyDescent="0.2"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</row>
    <row r="310" spans="2:18" ht="15" customHeight="1" x14ac:dyDescent="0.2"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</row>
    <row r="311" spans="2:18" ht="15" customHeight="1" x14ac:dyDescent="0.2"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</row>
    <row r="312" spans="2:18" ht="15" customHeight="1" x14ac:dyDescent="0.2"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</row>
    <row r="313" spans="2:18" ht="15" customHeight="1" x14ac:dyDescent="0.2"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</row>
    <row r="314" spans="2:18" ht="15" customHeight="1" x14ac:dyDescent="0.2"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</row>
    <row r="315" spans="2:18" ht="15.75" customHeight="1" x14ac:dyDescent="0.2"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</row>
    <row r="316" spans="2:18" ht="15" customHeight="1" x14ac:dyDescent="0.2"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</row>
    <row r="317" spans="2:18" ht="15" customHeight="1" x14ac:dyDescent="0.2"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</row>
    <row r="318" spans="2:18" ht="15" customHeight="1" x14ac:dyDescent="0.2"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</row>
    <row r="319" spans="2:18" ht="15" customHeight="1" x14ac:dyDescent="0.2"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</row>
    <row r="320" spans="2:18" ht="15" customHeight="1" x14ac:dyDescent="0.2"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</row>
    <row r="321" spans="2:18" ht="15.75" customHeight="1" x14ac:dyDescent="0.2"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</row>
    <row r="322" spans="2:18" ht="15" customHeight="1" x14ac:dyDescent="0.2"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</row>
    <row r="323" spans="2:18" ht="15" customHeight="1" x14ac:dyDescent="0.2"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</row>
    <row r="324" spans="2:18" ht="15" customHeight="1" x14ac:dyDescent="0.2"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</row>
    <row r="325" spans="2:18" ht="15" customHeight="1" x14ac:dyDescent="0.2"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</row>
    <row r="326" spans="2:18" ht="15" customHeight="1" x14ac:dyDescent="0.2"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</row>
    <row r="327" spans="2:18" ht="15.75" customHeight="1" x14ac:dyDescent="0.2"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</row>
    <row r="328" spans="2:18" ht="15" customHeight="1" x14ac:dyDescent="0.2"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</row>
    <row r="329" spans="2:18" ht="15" customHeight="1" x14ac:dyDescent="0.2"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</row>
    <row r="330" spans="2:18" ht="15" customHeight="1" x14ac:dyDescent="0.2"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</row>
    <row r="331" spans="2:18" ht="15" customHeight="1" x14ac:dyDescent="0.2"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</row>
    <row r="332" spans="2:18" ht="15" customHeight="1" x14ac:dyDescent="0.2"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</row>
    <row r="333" spans="2:18" ht="15.75" customHeight="1" x14ac:dyDescent="0.2"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</row>
    <row r="334" spans="2:18" ht="15" customHeight="1" x14ac:dyDescent="0.2"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</row>
    <row r="335" spans="2:18" ht="15" customHeight="1" x14ac:dyDescent="0.2"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</row>
    <row r="336" spans="2:18" ht="15" customHeight="1" x14ac:dyDescent="0.2"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</row>
    <row r="337" spans="2:18" ht="15" customHeight="1" x14ac:dyDescent="0.2"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</row>
    <row r="338" spans="2:18" ht="15" customHeight="1" x14ac:dyDescent="0.2"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</row>
    <row r="339" spans="2:18" ht="15.75" customHeight="1" x14ac:dyDescent="0.2"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</row>
    <row r="340" spans="2:18" ht="15.75" customHeight="1" x14ac:dyDescent="0.2"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</row>
    <row r="341" spans="2:18" ht="15" customHeight="1" x14ac:dyDescent="0.2"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</row>
    <row r="342" spans="2:18" ht="15" customHeight="1" x14ac:dyDescent="0.2"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</row>
    <row r="343" spans="2:18" ht="15" customHeight="1" x14ac:dyDescent="0.2"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</row>
    <row r="344" spans="2:18" ht="15" customHeight="1" x14ac:dyDescent="0.2"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</row>
    <row r="345" spans="2:18" ht="15.75" customHeight="1" x14ac:dyDescent="0.2"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</row>
    <row r="346" spans="2:18" ht="15" customHeight="1" x14ac:dyDescent="0.2"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</row>
    <row r="347" spans="2:18" ht="15" customHeight="1" x14ac:dyDescent="0.2"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</row>
    <row r="348" spans="2:18" ht="15" customHeight="1" x14ac:dyDescent="0.2"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</row>
    <row r="349" spans="2:18" ht="15" customHeight="1" x14ac:dyDescent="0.2"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</row>
    <row r="350" spans="2:18" ht="15" customHeight="1" x14ac:dyDescent="0.2"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</row>
    <row r="351" spans="2:18" ht="15.75" customHeight="1" x14ac:dyDescent="0.2"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</row>
    <row r="352" spans="2:18" ht="15" customHeight="1" x14ac:dyDescent="0.2"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</row>
    <row r="353" spans="2:18" ht="15" customHeight="1" x14ac:dyDescent="0.2"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</row>
    <row r="354" spans="2:18" ht="15" customHeight="1" x14ac:dyDescent="0.2"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</row>
    <row r="355" spans="2:18" ht="15" customHeight="1" x14ac:dyDescent="0.2"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</row>
    <row r="356" spans="2:18" ht="15" customHeight="1" x14ac:dyDescent="0.2"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</row>
    <row r="357" spans="2:18" ht="15.75" customHeight="1" x14ac:dyDescent="0.2"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</row>
    <row r="358" spans="2:18" ht="15" customHeight="1" x14ac:dyDescent="0.2"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</row>
    <row r="359" spans="2:18" ht="15" customHeight="1" x14ac:dyDescent="0.2"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</row>
    <row r="360" spans="2:18" ht="15" customHeight="1" x14ac:dyDescent="0.2"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</row>
    <row r="361" spans="2:18" ht="15" customHeight="1" x14ac:dyDescent="0.2"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</row>
    <row r="362" spans="2:18" ht="15" customHeight="1" x14ac:dyDescent="0.2"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</row>
    <row r="363" spans="2:18" ht="15.75" customHeight="1" x14ac:dyDescent="0.2"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</row>
    <row r="364" spans="2:18" ht="15" customHeight="1" x14ac:dyDescent="0.2"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</row>
    <row r="365" spans="2:18" ht="15" customHeight="1" x14ac:dyDescent="0.2"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</row>
    <row r="366" spans="2:18" ht="15" customHeight="1" x14ac:dyDescent="0.2"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</row>
    <row r="367" spans="2:18" ht="15" customHeight="1" x14ac:dyDescent="0.2"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</row>
    <row r="368" spans="2:18" ht="15" customHeight="1" x14ac:dyDescent="0.2"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</row>
    <row r="369" spans="2:18" ht="15.75" customHeight="1" x14ac:dyDescent="0.2"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</row>
    <row r="370" spans="2:18" ht="15" customHeight="1" x14ac:dyDescent="0.2"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</row>
    <row r="371" spans="2:18" ht="15" customHeight="1" x14ac:dyDescent="0.2"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</row>
    <row r="372" spans="2:18" ht="15" customHeight="1" x14ac:dyDescent="0.2"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</row>
    <row r="373" spans="2:18" ht="15" customHeight="1" x14ac:dyDescent="0.2"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</row>
    <row r="374" spans="2:18" ht="15" customHeight="1" x14ac:dyDescent="0.2"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</row>
    <row r="375" spans="2:18" ht="15.75" customHeight="1" x14ac:dyDescent="0.2"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</row>
    <row r="376" spans="2:18" ht="15" customHeight="1" x14ac:dyDescent="0.2"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</row>
    <row r="377" spans="2:18" ht="15" customHeight="1" x14ac:dyDescent="0.2"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</row>
    <row r="378" spans="2:18" ht="15" customHeight="1" x14ac:dyDescent="0.2"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</row>
    <row r="379" spans="2:18" ht="15" customHeight="1" x14ac:dyDescent="0.2"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</row>
    <row r="380" spans="2:18" ht="15" customHeight="1" x14ac:dyDescent="0.2"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</row>
    <row r="381" spans="2:18" ht="15.75" customHeight="1" x14ac:dyDescent="0.2"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</row>
    <row r="382" spans="2:18" ht="15" customHeight="1" x14ac:dyDescent="0.2"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</row>
    <row r="383" spans="2:18" ht="15" customHeight="1" x14ac:dyDescent="0.2"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</row>
    <row r="384" spans="2:18" ht="15" customHeight="1" x14ac:dyDescent="0.2"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</row>
    <row r="385" spans="2:18" ht="15" customHeight="1" x14ac:dyDescent="0.2"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</row>
    <row r="386" spans="2:18" ht="15" customHeight="1" x14ac:dyDescent="0.2"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</row>
    <row r="387" spans="2:18" ht="15.75" customHeight="1" x14ac:dyDescent="0.2"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</row>
    <row r="388" spans="2:18" ht="15" customHeight="1" x14ac:dyDescent="0.2"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</row>
    <row r="389" spans="2:18" ht="15" customHeight="1" x14ac:dyDescent="0.2"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</row>
    <row r="390" spans="2:18" ht="15" customHeight="1" x14ac:dyDescent="0.2"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</row>
    <row r="391" spans="2:18" ht="15" customHeight="1" x14ac:dyDescent="0.2"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</row>
    <row r="392" spans="2:18" ht="15" customHeight="1" x14ac:dyDescent="0.2"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</row>
    <row r="393" spans="2:18" ht="15.75" customHeight="1" x14ac:dyDescent="0.2"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</row>
    <row r="394" spans="2:18" ht="15.75" customHeight="1" x14ac:dyDescent="0.2"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</row>
    <row r="395" spans="2:18" ht="15" customHeight="1" x14ac:dyDescent="0.2"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</row>
    <row r="396" spans="2:18" ht="15" customHeight="1" x14ac:dyDescent="0.2"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</row>
    <row r="397" spans="2:18" ht="15" customHeight="1" x14ac:dyDescent="0.2"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</row>
    <row r="398" spans="2:18" ht="15" customHeight="1" x14ac:dyDescent="0.2"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</row>
    <row r="399" spans="2:18" ht="15.75" customHeight="1" x14ac:dyDescent="0.2"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</row>
    <row r="400" spans="2:18" ht="15" customHeight="1" x14ac:dyDescent="0.2"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</row>
    <row r="401" spans="2:18" ht="15" customHeight="1" x14ac:dyDescent="0.2"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</row>
    <row r="402" spans="2:18" ht="15" customHeight="1" x14ac:dyDescent="0.2"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</row>
    <row r="403" spans="2:18" ht="15" customHeight="1" x14ac:dyDescent="0.2"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</row>
    <row r="404" spans="2:18" ht="15" customHeight="1" x14ac:dyDescent="0.2"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</row>
    <row r="405" spans="2:18" ht="15.75" customHeight="1" x14ac:dyDescent="0.2"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</row>
    <row r="406" spans="2:18" ht="15" customHeight="1" x14ac:dyDescent="0.2"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</row>
    <row r="407" spans="2:18" ht="15" customHeight="1" x14ac:dyDescent="0.2"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</row>
    <row r="408" spans="2:18" ht="15" customHeight="1" x14ac:dyDescent="0.2"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</row>
    <row r="409" spans="2:18" ht="15" customHeight="1" x14ac:dyDescent="0.2"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</row>
    <row r="410" spans="2:18" ht="15" customHeight="1" x14ac:dyDescent="0.2"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</row>
    <row r="411" spans="2:18" ht="15.75" customHeight="1" x14ac:dyDescent="0.2"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</row>
    <row r="412" spans="2:18" ht="15" customHeight="1" x14ac:dyDescent="0.2"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</row>
    <row r="413" spans="2:18" ht="15" customHeight="1" x14ac:dyDescent="0.2"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</row>
    <row r="414" spans="2:18" ht="15" customHeight="1" x14ac:dyDescent="0.2"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</row>
    <row r="415" spans="2:18" ht="15" customHeight="1" x14ac:dyDescent="0.2"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</row>
    <row r="416" spans="2:18" ht="15" customHeight="1" x14ac:dyDescent="0.2"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</row>
    <row r="417" spans="2:18" ht="15.75" customHeight="1" x14ac:dyDescent="0.2"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</row>
    <row r="418" spans="2:18" ht="15" customHeight="1" x14ac:dyDescent="0.2"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</row>
    <row r="419" spans="2:18" ht="15" customHeight="1" x14ac:dyDescent="0.2"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</row>
    <row r="420" spans="2:18" ht="15" customHeight="1" x14ac:dyDescent="0.2"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</row>
    <row r="421" spans="2:18" ht="15" customHeight="1" x14ac:dyDescent="0.2"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</row>
    <row r="422" spans="2:18" ht="15" customHeight="1" x14ac:dyDescent="0.2"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</row>
    <row r="423" spans="2:18" ht="15.75" customHeight="1" x14ac:dyDescent="0.2"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</row>
    <row r="424" spans="2:18" ht="15" customHeight="1" x14ac:dyDescent="0.2"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</row>
    <row r="425" spans="2:18" ht="15" customHeight="1" x14ac:dyDescent="0.2"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</row>
    <row r="426" spans="2:18" ht="15" customHeight="1" x14ac:dyDescent="0.2"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</row>
    <row r="427" spans="2:18" ht="15" customHeight="1" x14ac:dyDescent="0.2"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</row>
    <row r="428" spans="2:18" ht="15" customHeight="1" x14ac:dyDescent="0.2"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</row>
    <row r="429" spans="2:18" ht="15.75" customHeight="1" x14ac:dyDescent="0.2"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</row>
    <row r="430" spans="2:18" ht="15" customHeight="1" x14ac:dyDescent="0.2"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</row>
    <row r="431" spans="2:18" ht="15" customHeight="1" x14ac:dyDescent="0.2"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</row>
    <row r="432" spans="2:18" ht="15" customHeight="1" x14ac:dyDescent="0.2"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</row>
    <row r="433" spans="2:18" ht="15" customHeight="1" x14ac:dyDescent="0.2"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</row>
    <row r="434" spans="2:18" ht="15" customHeight="1" x14ac:dyDescent="0.2"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</row>
    <row r="435" spans="2:18" ht="15.75" customHeight="1" x14ac:dyDescent="0.2"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</row>
    <row r="436" spans="2:18" ht="15" customHeight="1" x14ac:dyDescent="0.2"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</row>
    <row r="437" spans="2:18" ht="15" customHeight="1" x14ac:dyDescent="0.2"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</row>
    <row r="438" spans="2:18" ht="15" customHeight="1" x14ac:dyDescent="0.2"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</row>
    <row r="439" spans="2:18" ht="15" customHeight="1" x14ac:dyDescent="0.2"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</row>
    <row r="440" spans="2:18" ht="15" customHeight="1" x14ac:dyDescent="0.2"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</row>
    <row r="441" spans="2:18" ht="15.75" customHeight="1" x14ac:dyDescent="0.2"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</row>
    <row r="442" spans="2:18" ht="15" customHeight="1" x14ac:dyDescent="0.2"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</row>
    <row r="443" spans="2:18" ht="15" customHeight="1" x14ac:dyDescent="0.2"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</row>
    <row r="444" spans="2:18" ht="15" customHeight="1" x14ac:dyDescent="0.2"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</row>
    <row r="445" spans="2:18" ht="15" customHeight="1" x14ac:dyDescent="0.2"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</row>
    <row r="446" spans="2:18" ht="15" customHeight="1" x14ac:dyDescent="0.2"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</row>
    <row r="447" spans="2:18" ht="15.75" customHeight="1" x14ac:dyDescent="0.2"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</row>
    <row r="448" spans="2:18" ht="15.75" customHeight="1" x14ac:dyDescent="0.2"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</row>
    <row r="449" spans="2:18" ht="15" customHeight="1" x14ac:dyDescent="0.2"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</row>
    <row r="450" spans="2:18" ht="15" customHeight="1" x14ac:dyDescent="0.2"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</row>
    <row r="451" spans="2:18" ht="15" customHeight="1" x14ac:dyDescent="0.2"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</row>
    <row r="452" spans="2:18" ht="15" customHeight="1" x14ac:dyDescent="0.2"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</row>
    <row r="453" spans="2:18" ht="15.75" customHeight="1" x14ac:dyDescent="0.2"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</row>
    <row r="454" spans="2:18" ht="15" customHeight="1" x14ac:dyDescent="0.2"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</row>
    <row r="455" spans="2:18" ht="15" customHeight="1" x14ac:dyDescent="0.2"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</row>
    <row r="456" spans="2:18" ht="15" customHeight="1" x14ac:dyDescent="0.2"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</row>
    <row r="457" spans="2:18" ht="15" customHeight="1" x14ac:dyDescent="0.2"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</row>
    <row r="458" spans="2:18" ht="15" customHeight="1" x14ac:dyDescent="0.2"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</row>
    <row r="459" spans="2:18" ht="15.75" customHeight="1" x14ac:dyDescent="0.2"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</row>
    <row r="460" spans="2:18" ht="15" customHeight="1" x14ac:dyDescent="0.2"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</row>
    <row r="461" spans="2:18" ht="15" customHeight="1" x14ac:dyDescent="0.2"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</row>
    <row r="462" spans="2:18" ht="15" customHeight="1" x14ac:dyDescent="0.2"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</row>
    <row r="463" spans="2:18" ht="15" customHeight="1" x14ac:dyDescent="0.2"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</row>
    <row r="464" spans="2:18" ht="15" customHeight="1" x14ac:dyDescent="0.2"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</row>
    <row r="465" spans="2:18" ht="15.75" customHeight="1" x14ac:dyDescent="0.2"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</row>
    <row r="466" spans="2:18" ht="15" customHeight="1" x14ac:dyDescent="0.2"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</row>
    <row r="467" spans="2:18" ht="15" customHeight="1" x14ac:dyDescent="0.2"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</row>
    <row r="468" spans="2:18" ht="15" customHeight="1" x14ac:dyDescent="0.2"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</row>
    <row r="469" spans="2:18" ht="15" customHeight="1" x14ac:dyDescent="0.2"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</row>
    <row r="470" spans="2:18" ht="15" customHeight="1" x14ac:dyDescent="0.2"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</row>
    <row r="471" spans="2:18" ht="15.75" customHeight="1" x14ac:dyDescent="0.2"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</row>
    <row r="472" spans="2:18" ht="15" customHeight="1" x14ac:dyDescent="0.2"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</row>
    <row r="473" spans="2:18" ht="15" customHeight="1" x14ac:dyDescent="0.2"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</row>
    <row r="474" spans="2:18" ht="15" customHeight="1" x14ac:dyDescent="0.2"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</row>
    <row r="475" spans="2:18" ht="15" customHeight="1" x14ac:dyDescent="0.2"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</row>
    <row r="476" spans="2:18" ht="15" customHeight="1" x14ac:dyDescent="0.2"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</row>
    <row r="477" spans="2:18" ht="15.75" customHeight="1" x14ac:dyDescent="0.2"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</row>
    <row r="478" spans="2:18" ht="15" customHeight="1" x14ac:dyDescent="0.2"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</row>
    <row r="479" spans="2:18" ht="15" customHeight="1" x14ac:dyDescent="0.2"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</row>
    <row r="480" spans="2:18" ht="15" customHeight="1" x14ac:dyDescent="0.2"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</row>
    <row r="481" spans="2:18" ht="15" customHeight="1" x14ac:dyDescent="0.2"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</row>
    <row r="482" spans="2:18" ht="15" customHeight="1" x14ac:dyDescent="0.2"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</row>
    <row r="483" spans="2:18" ht="15.75" customHeight="1" x14ac:dyDescent="0.2"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</row>
    <row r="484" spans="2:18" ht="15" customHeight="1" x14ac:dyDescent="0.2"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</row>
    <row r="485" spans="2:18" ht="15" customHeight="1" x14ac:dyDescent="0.2"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</row>
    <row r="486" spans="2:18" ht="15" customHeight="1" x14ac:dyDescent="0.2"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</row>
    <row r="487" spans="2:18" ht="15" customHeight="1" x14ac:dyDescent="0.2"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</row>
    <row r="488" spans="2:18" ht="15" customHeight="1" x14ac:dyDescent="0.2"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</row>
    <row r="489" spans="2:18" ht="15.75" customHeight="1" x14ac:dyDescent="0.2"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</row>
    <row r="490" spans="2:18" ht="15" customHeight="1" x14ac:dyDescent="0.2"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</row>
    <row r="491" spans="2:18" ht="15" customHeight="1" x14ac:dyDescent="0.2"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</row>
    <row r="492" spans="2:18" ht="15" customHeight="1" x14ac:dyDescent="0.2"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</row>
    <row r="493" spans="2:18" ht="15" customHeight="1" x14ac:dyDescent="0.2"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</row>
    <row r="494" spans="2:18" ht="15" customHeight="1" x14ac:dyDescent="0.2"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</row>
    <row r="495" spans="2:18" ht="15.75" customHeight="1" x14ac:dyDescent="0.2"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</row>
    <row r="496" spans="2:18" ht="15" customHeight="1" x14ac:dyDescent="0.2"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</row>
    <row r="497" spans="2:18" ht="15" customHeight="1" x14ac:dyDescent="0.2"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</row>
    <row r="498" spans="2:18" ht="15" customHeight="1" x14ac:dyDescent="0.2"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</row>
    <row r="499" spans="2:18" ht="15" customHeight="1" x14ac:dyDescent="0.2"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</row>
    <row r="500" spans="2:18" ht="15" customHeight="1" x14ac:dyDescent="0.2"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</row>
    <row r="501" spans="2:18" ht="15.75" customHeight="1" x14ac:dyDescent="0.2"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</row>
    <row r="502" spans="2:18" ht="15.75" customHeight="1" x14ac:dyDescent="0.2"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</row>
    <row r="503" spans="2:18" ht="15" customHeight="1" x14ac:dyDescent="0.2"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</row>
    <row r="504" spans="2:18" ht="15" customHeight="1" x14ac:dyDescent="0.2"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</row>
    <row r="505" spans="2:18" ht="15" customHeight="1" x14ac:dyDescent="0.2"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</row>
    <row r="506" spans="2:18" ht="15" customHeight="1" x14ac:dyDescent="0.2"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</row>
    <row r="507" spans="2:18" ht="15.75" customHeight="1" x14ac:dyDescent="0.2"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</row>
    <row r="508" spans="2:18" ht="15" customHeight="1" x14ac:dyDescent="0.2"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</row>
    <row r="509" spans="2:18" ht="15" customHeight="1" x14ac:dyDescent="0.2"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</row>
    <row r="510" spans="2:18" ht="15" customHeight="1" x14ac:dyDescent="0.2"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</row>
    <row r="511" spans="2:18" ht="15" customHeight="1" x14ac:dyDescent="0.2"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</row>
    <row r="512" spans="2:18" ht="15" customHeight="1" x14ac:dyDescent="0.2"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</row>
    <row r="513" spans="2:18" ht="15.75" customHeight="1" x14ac:dyDescent="0.2"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</row>
    <row r="514" spans="2:18" ht="15" customHeight="1" x14ac:dyDescent="0.2"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</row>
    <row r="515" spans="2:18" ht="15" customHeight="1" x14ac:dyDescent="0.2"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</row>
    <row r="516" spans="2:18" ht="15" customHeight="1" x14ac:dyDescent="0.2"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</row>
    <row r="517" spans="2:18" ht="15" customHeight="1" x14ac:dyDescent="0.2"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</row>
    <row r="518" spans="2:18" ht="15" customHeight="1" x14ac:dyDescent="0.2"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</row>
    <row r="519" spans="2:18" ht="15.75" customHeight="1" x14ac:dyDescent="0.2"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</row>
    <row r="520" spans="2:18" ht="15" customHeight="1" x14ac:dyDescent="0.2"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</row>
    <row r="521" spans="2:18" ht="15" customHeight="1" x14ac:dyDescent="0.2"/>
    <row r="522" spans="2:18" ht="15" customHeight="1" x14ac:dyDescent="0.2"/>
    <row r="523" spans="2:18" ht="15" customHeight="1" x14ac:dyDescent="0.2"/>
    <row r="524" spans="2:18" ht="15" customHeight="1" x14ac:dyDescent="0.2"/>
    <row r="525" spans="2:18" ht="15.75" customHeight="1" x14ac:dyDescent="0.2"/>
    <row r="526" spans="2:18" ht="15" customHeight="1" x14ac:dyDescent="0.2"/>
    <row r="527" spans="2:18" ht="15" customHeight="1" x14ac:dyDescent="0.2"/>
    <row r="528" spans="2:18" ht="15" customHeight="1" x14ac:dyDescent="0.2"/>
    <row r="529" ht="15" customHeight="1" x14ac:dyDescent="0.2"/>
    <row r="530" ht="15" customHeight="1" x14ac:dyDescent="0.2"/>
    <row r="531" ht="15.7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.7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.7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.7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.75" customHeight="1" x14ac:dyDescent="0.2"/>
    <row r="556" ht="15.7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.7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.7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.7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.7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.7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.7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.7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.7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.75" customHeight="1" x14ac:dyDescent="0.2"/>
    <row r="610" ht="15.7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.7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.7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.7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.7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.7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.7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.7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.7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.75" customHeight="1" x14ac:dyDescent="0.2"/>
    <row r="664" ht="15.7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.7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.7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.7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.7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.7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.7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.7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.7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.75" customHeight="1" x14ac:dyDescent="0.2"/>
    <row r="718" ht="15.7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.7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.7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.7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.7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.7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.7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.7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.7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.75" customHeight="1" x14ac:dyDescent="0.2"/>
    <row r="772" ht="15.7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.7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.7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.7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.7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.7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.7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.7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.7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.75" customHeight="1" x14ac:dyDescent="0.2"/>
    <row r="826" ht="15.7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.7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.7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.7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.7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.7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.7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.7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.7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.75" customHeight="1" x14ac:dyDescent="0.2"/>
    <row r="880" ht="15.7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.7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.7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.7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.7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.7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.7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</sheetData>
  <autoFilter ref="B3:S3"/>
  <mergeCells count="1">
    <mergeCell ref="J2:S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922"/>
  <sheetViews>
    <sheetView zoomScale="59" zoomScaleNormal="59" workbookViewId="0">
      <selection activeCell="AH4" sqref="AH4:AH921"/>
    </sheetView>
  </sheetViews>
  <sheetFormatPr defaultColWidth="11.375" defaultRowHeight="35.1" customHeight="1" x14ac:dyDescent="0.2"/>
  <cols>
    <col min="1" max="1" width="11.375" style="4"/>
    <col min="2" max="2" width="27.125" style="4" customWidth="1"/>
    <col min="3" max="6" width="12.75" style="4" customWidth="1"/>
    <col min="7" max="7" width="10.875" style="4" customWidth="1"/>
    <col min="8" max="8" width="15.875" style="4" customWidth="1"/>
    <col min="9" max="9" width="9" style="5" customWidth="1"/>
    <col min="10" max="10" width="16.375" style="4" customWidth="1"/>
    <col min="11" max="13" width="11.375" style="4"/>
    <col min="14" max="14" width="11" style="4" customWidth="1"/>
    <col min="15" max="15" width="10" style="4" customWidth="1"/>
    <col min="16" max="16" width="11.375" style="4"/>
    <col min="17" max="19" width="13.5" style="4" customWidth="1"/>
    <col min="20" max="20" width="8.75" style="4" customWidth="1"/>
    <col min="21" max="21" width="8.125" style="4" customWidth="1"/>
    <col min="22" max="22" width="6.375" style="4" customWidth="1"/>
    <col min="23" max="23" width="7.25" style="4" customWidth="1"/>
    <col min="24" max="24" width="10.5" style="4" customWidth="1"/>
    <col min="25" max="25" width="9.75" style="4" customWidth="1"/>
    <col min="26" max="26" width="13.125" style="4" customWidth="1"/>
    <col min="27" max="28" width="8.25" style="4" customWidth="1"/>
    <col min="29" max="31" width="11.375" style="4"/>
    <col min="32" max="33" width="8.25" style="4" customWidth="1"/>
    <col min="34" max="34" width="12.875" style="4" customWidth="1"/>
    <col min="35" max="16384" width="11.375" style="4"/>
  </cols>
  <sheetData>
    <row r="1" spans="2:34" ht="39" customHeight="1" thickTop="1" thickBot="1" x14ac:dyDescent="0.25">
      <c r="K1" s="166" t="s">
        <v>46</v>
      </c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7"/>
      <c r="AB1" s="166" t="s">
        <v>17</v>
      </c>
      <c r="AC1" s="167"/>
      <c r="AD1" s="167"/>
      <c r="AE1" s="167"/>
      <c r="AF1" s="167"/>
      <c r="AG1" s="167"/>
      <c r="AH1" s="168"/>
    </row>
    <row r="2" spans="2:34" ht="49.5" customHeight="1" thickBot="1" x14ac:dyDescent="0.25">
      <c r="K2" s="169" t="s">
        <v>45</v>
      </c>
      <c r="L2" s="180" t="s">
        <v>33</v>
      </c>
      <c r="M2" s="171" t="s">
        <v>44</v>
      </c>
      <c r="N2" s="172"/>
      <c r="O2" s="173"/>
      <c r="P2" s="169" t="s">
        <v>43</v>
      </c>
      <c r="Q2" s="169" t="s">
        <v>47</v>
      </c>
      <c r="R2" s="169" t="s">
        <v>12</v>
      </c>
      <c r="S2" s="169" t="s">
        <v>13</v>
      </c>
      <c r="T2" s="174" t="s">
        <v>48</v>
      </c>
      <c r="U2" s="175"/>
      <c r="V2" s="175"/>
      <c r="W2" s="175"/>
      <c r="X2" s="175"/>
      <c r="Y2" s="175"/>
      <c r="Z2" s="154" t="s">
        <v>0</v>
      </c>
      <c r="AA2" s="155"/>
      <c r="AB2" s="169" t="s">
        <v>45</v>
      </c>
      <c r="AC2" s="178" t="s">
        <v>33</v>
      </c>
      <c r="AD2" s="171" t="s">
        <v>44</v>
      </c>
      <c r="AE2" s="173"/>
      <c r="AF2" s="169" t="s">
        <v>43</v>
      </c>
      <c r="AG2" s="169" t="s">
        <v>42</v>
      </c>
      <c r="AH2" s="140" t="s">
        <v>0</v>
      </c>
    </row>
    <row r="3" spans="2:34" ht="59.25" customHeight="1" thickBot="1" x14ac:dyDescent="0.25">
      <c r="B3" s="1" t="s">
        <v>5</v>
      </c>
      <c r="C3" s="2" t="s">
        <v>14</v>
      </c>
      <c r="D3" s="2" t="s">
        <v>6</v>
      </c>
      <c r="E3" s="1" t="s">
        <v>49</v>
      </c>
      <c r="F3" s="1" t="s">
        <v>7</v>
      </c>
      <c r="G3" s="2" t="s">
        <v>4</v>
      </c>
      <c r="H3" s="1" t="s">
        <v>8</v>
      </c>
      <c r="I3" s="1" t="s">
        <v>2</v>
      </c>
      <c r="J3" s="37" t="s">
        <v>41</v>
      </c>
      <c r="K3" s="170"/>
      <c r="L3" s="181"/>
      <c r="M3" s="34" t="s">
        <v>32</v>
      </c>
      <c r="N3" s="34" t="s">
        <v>40</v>
      </c>
      <c r="O3" s="34" t="s">
        <v>39</v>
      </c>
      <c r="P3" s="170"/>
      <c r="Q3" s="170"/>
      <c r="R3" s="170"/>
      <c r="S3" s="170"/>
      <c r="T3" s="36" t="s">
        <v>38</v>
      </c>
      <c r="U3" s="36" t="s">
        <v>37</v>
      </c>
      <c r="V3" s="36" t="s">
        <v>36</v>
      </c>
      <c r="W3" s="36" t="s">
        <v>35</v>
      </c>
      <c r="X3" s="36" t="s">
        <v>34</v>
      </c>
      <c r="Y3" s="35" t="s">
        <v>25</v>
      </c>
      <c r="Z3" s="156"/>
      <c r="AA3" s="157"/>
      <c r="AB3" s="170"/>
      <c r="AC3" s="179"/>
      <c r="AD3" s="34" t="s">
        <v>32</v>
      </c>
      <c r="AE3" s="34" t="s">
        <v>31</v>
      </c>
      <c r="AF3" s="170"/>
      <c r="AG3" s="170"/>
      <c r="AH3" s="187"/>
    </row>
    <row r="4" spans="2:34" ht="35.1" customHeight="1" thickTop="1" thickBot="1" x14ac:dyDescent="0.25">
      <c r="B4" s="141"/>
      <c r="C4" s="144"/>
      <c r="D4" s="144"/>
      <c r="E4" s="144"/>
      <c r="F4" s="144"/>
      <c r="G4" s="144"/>
      <c r="H4" s="144"/>
      <c r="I4" s="158"/>
      <c r="J4" s="18" t="s">
        <v>30</v>
      </c>
      <c r="K4" s="22"/>
      <c r="L4" s="23"/>
      <c r="M4" s="17"/>
      <c r="N4" s="23"/>
      <c r="O4" s="23"/>
      <c r="P4" s="22"/>
      <c r="Q4" s="22"/>
      <c r="R4" s="22"/>
      <c r="S4" s="22"/>
      <c r="T4" s="21"/>
      <c r="U4" s="20"/>
      <c r="V4" s="20"/>
      <c r="W4" s="20"/>
      <c r="X4" s="20"/>
      <c r="Y4" s="19"/>
      <c r="Z4" s="6" t="e">
        <f t="shared" ref="Z4:Z67" si="0">(L4)/K4</f>
        <v>#DIV/0!</v>
      </c>
      <c r="AA4" s="147" t="e">
        <f>AVERAGE(Z4,Z5,Z6,Z9)</f>
        <v>#DIV/0!</v>
      </c>
      <c r="AB4" s="150"/>
      <c r="AC4" s="151"/>
      <c r="AD4" s="151"/>
      <c r="AE4" s="163"/>
      <c r="AF4" s="150"/>
      <c r="AG4" s="150"/>
      <c r="AH4" s="182" t="e">
        <f>(AC4)/AB4</f>
        <v>#DIV/0!</v>
      </c>
    </row>
    <row r="5" spans="2:34" ht="35.1" customHeight="1" thickTop="1" thickBot="1" x14ac:dyDescent="0.25">
      <c r="B5" s="161"/>
      <c r="C5" s="145"/>
      <c r="D5" s="145"/>
      <c r="E5" s="145"/>
      <c r="F5" s="145"/>
      <c r="G5" s="145"/>
      <c r="H5" s="145"/>
      <c r="I5" s="185"/>
      <c r="J5" s="18" t="s">
        <v>29</v>
      </c>
      <c r="K5" s="16"/>
      <c r="L5" s="17"/>
      <c r="M5" s="17"/>
      <c r="N5" s="17"/>
      <c r="O5" s="17"/>
      <c r="P5" s="16"/>
      <c r="Q5" s="16"/>
      <c r="R5" s="16"/>
      <c r="S5" s="16"/>
      <c r="T5" s="15"/>
      <c r="U5" s="14"/>
      <c r="V5" s="14"/>
      <c r="W5" s="14"/>
      <c r="X5" s="14"/>
      <c r="Y5" s="13"/>
      <c r="Z5" s="6" t="e">
        <f t="shared" si="0"/>
        <v>#DIV/0!</v>
      </c>
      <c r="AA5" s="148"/>
      <c r="AB5" s="148"/>
      <c r="AC5" s="152"/>
      <c r="AD5" s="152"/>
      <c r="AE5" s="164"/>
      <c r="AF5" s="148"/>
      <c r="AG5" s="148"/>
      <c r="AH5" s="183"/>
    </row>
    <row r="6" spans="2:34" ht="35.1" customHeight="1" thickTop="1" thickBot="1" x14ac:dyDescent="0.25">
      <c r="B6" s="161"/>
      <c r="C6" s="145"/>
      <c r="D6" s="145"/>
      <c r="E6" s="145"/>
      <c r="F6" s="145"/>
      <c r="G6" s="145"/>
      <c r="H6" s="145"/>
      <c r="I6" s="185"/>
      <c r="J6" s="18" t="s">
        <v>28</v>
      </c>
      <c r="K6" s="16"/>
      <c r="L6" s="17"/>
      <c r="M6" s="17"/>
      <c r="N6" s="17"/>
      <c r="O6" s="17"/>
      <c r="P6" s="16"/>
      <c r="Q6" s="16"/>
      <c r="R6" s="16"/>
      <c r="S6" s="16"/>
      <c r="T6" s="15"/>
      <c r="U6" s="14"/>
      <c r="V6" s="14"/>
      <c r="W6" s="14"/>
      <c r="X6" s="14"/>
      <c r="Y6" s="13"/>
      <c r="Z6" s="6" t="e">
        <f t="shared" si="0"/>
        <v>#DIV/0!</v>
      </c>
      <c r="AA6" s="148"/>
      <c r="AB6" s="148"/>
      <c r="AC6" s="152"/>
      <c r="AD6" s="152"/>
      <c r="AE6" s="164"/>
      <c r="AF6" s="148"/>
      <c r="AG6" s="148"/>
      <c r="AH6" s="183"/>
    </row>
    <row r="7" spans="2:34" ht="35.1" customHeight="1" thickTop="1" thickBot="1" x14ac:dyDescent="0.25">
      <c r="B7" s="161"/>
      <c r="C7" s="145"/>
      <c r="D7" s="145"/>
      <c r="E7" s="145"/>
      <c r="F7" s="145"/>
      <c r="G7" s="145"/>
      <c r="H7" s="145"/>
      <c r="I7" s="185"/>
      <c r="J7" s="18" t="s">
        <v>27</v>
      </c>
      <c r="K7" s="16"/>
      <c r="L7" s="17"/>
      <c r="M7" s="17"/>
      <c r="N7" s="17"/>
      <c r="O7" s="17"/>
      <c r="P7" s="16"/>
      <c r="Q7" s="16"/>
      <c r="R7" s="16"/>
      <c r="S7" s="16"/>
      <c r="T7" s="15"/>
      <c r="U7" s="14"/>
      <c r="V7" s="14"/>
      <c r="W7" s="14"/>
      <c r="X7" s="14"/>
      <c r="Y7" s="13"/>
      <c r="Z7" s="6" t="e">
        <f t="shared" si="0"/>
        <v>#DIV/0!</v>
      </c>
      <c r="AA7" s="148"/>
      <c r="AB7" s="148"/>
      <c r="AC7" s="152"/>
      <c r="AD7" s="152"/>
      <c r="AE7" s="164"/>
      <c r="AF7" s="148"/>
      <c r="AG7" s="148"/>
      <c r="AH7" s="183"/>
    </row>
    <row r="8" spans="2:34" ht="35.1" customHeight="1" thickTop="1" thickBot="1" x14ac:dyDescent="0.25">
      <c r="B8" s="161"/>
      <c r="C8" s="145"/>
      <c r="D8" s="145"/>
      <c r="E8" s="145"/>
      <c r="F8" s="145"/>
      <c r="G8" s="145"/>
      <c r="H8" s="145"/>
      <c r="I8" s="185"/>
      <c r="J8" s="18" t="s">
        <v>26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e">
        <f t="shared" si="0"/>
        <v>#DIV/0!</v>
      </c>
      <c r="AA8" s="148"/>
      <c r="AB8" s="148"/>
      <c r="AC8" s="152"/>
      <c r="AD8" s="152"/>
      <c r="AE8" s="164"/>
      <c r="AF8" s="148"/>
      <c r="AG8" s="148"/>
      <c r="AH8" s="183"/>
    </row>
    <row r="9" spans="2:34" ht="35.1" customHeight="1" thickTop="1" thickBot="1" x14ac:dyDescent="0.25">
      <c r="B9" s="162"/>
      <c r="C9" s="146"/>
      <c r="D9" s="146"/>
      <c r="E9" s="146"/>
      <c r="F9" s="146"/>
      <c r="G9" s="146"/>
      <c r="H9" s="146"/>
      <c r="I9" s="186"/>
      <c r="J9" s="12" t="s">
        <v>25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e">
        <f t="shared" si="0"/>
        <v>#DIV/0!</v>
      </c>
      <c r="AA9" s="149"/>
      <c r="AB9" s="149"/>
      <c r="AC9" s="153"/>
      <c r="AD9" s="153"/>
      <c r="AE9" s="165"/>
      <c r="AF9" s="149"/>
      <c r="AG9" s="149"/>
      <c r="AH9" s="184"/>
    </row>
    <row r="10" spans="2:34" ht="35.1" customHeight="1" thickTop="1" thickBot="1" x14ac:dyDescent="0.25">
      <c r="B10" s="141"/>
      <c r="C10" s="141"/>
      <c r="D10" s="141"/>
      <c r="E10" s="141"/>
      <c r="F10" s="141"/>
      <c r="G10" s="141"/>
      <c r="H10" s="141"/>
      <c r="I10" s="158"/>
      <c r="J10" s="18" t="s">
        <v>30</v>
      </c>
      <c r="K10" s="22"/>
      <c r="L10" s="23"/>
      <c r="M10" s="17"/>
      <c r="N10" s="23"/>
      <c r="O10" s="23"/>
      <c r="P10" s="22"/>
      <c r="Q10" s="22"/>
      <c r="R10" s="22"/>
      <c r="S10" s="22"/>
      <c r="T10" s="21"/>
      <c r="U10" s="20"/>
      <c r="V10" s="20"/>
      <c r="W10" s="20"/>
      <c r="X10" s="20"/>
      <c r="Y10" s="19"/>
      <c r="Z10" s="6" t="e">
        <f t="shared" si="0"/>
        <v>#DIV/0!</v>
      </c>
      <c r="AA10" s="147" t="e">
        <f>AVERAGE(Z10,Z11,Z12,Z15)</f>
        <v>#DIV/0!</v>
      </c>
      <c r="AB10" s="150"/>
      <c r="AC10" s="151"/>
      <c r="AD10" s="151"/>
      <c r="AE10" s="163"/>
      <c r="AF10" s="150"/>
      <c r="AG10" s="150"/>
      <c r="AH10" s="182" t="e">
        <f t="shared" ref="AH10" si="1">(AC10)/AB10</f>
        <v>#DIV/0!</v>
      </c>
    </row>
    <row r="11" spans="2:34" ht="35.1" customHeight="1" thickTop="1" thickBot="1" x14ac:dyDescent="0.25">
      <c r="B11" s="142"/>
      <c r="C11" s="142"/>
      <c r="D11" s="142"/>
      <c r="E11" s="142"/>
      <c r="F11" s="142"/>
      <c r="G11" s="142"/>
      <c r="H11" s="142"/>
      <c r="I11" s="159"/>
      <c r="J11" s="18" t="s">
        <v>29</v>
      </c>
      <c r="K11" s="16"/>
      <c r="L11" s="17"/>
      <c r="M11" s="17"/>
      <c r="N11" s="17"/>
      <c r="O11" s="17"/>
      <c r="P11" s="16"/>
      <c r="Q11" s="16"/>
      <c r="R11" s="16"/>
      <c r="S11" s="16"/>
      <c r="T11" s="15"/>
      <c r="U11" s="14"/>
      <c r="V11" s="14"/>
      <c r="W11" s="14"/>
      <c r="X11" s="14"/>
      <c r="Y11" s="13"/>
      <c r="Z11" s="6" t="e">
        <f t="shared" si="0"/>
        <v>#DIV/0!</v>
      </c>
      <c r="AA11" s="148"/>
      <c r="AB11" s="148"/>
      <c r="AC11" s="152"/>
      <c r="AD11" s="152"/>
      <c r="AE11" s="164"/>
      <c r="AF11" s="148"/>
      <c r="AG11" s="148"/>
      <c r="AH11" s="183"/>
    </row>
    <row r="12" spans="2:34" ht="35.1" customHeight="1" thickTop="1" thickBot="1" x14ac:dyDescent="0.25">
      <c r="B12" s="142"/>
      <c r="C12" s="142"/>
      <c r="D12" s="142"/>
      <c r="E12" s="142"/>
      <c r="F12" s="142"/>
      <c r="G12" s="142"/>
      <c r="H12" s="142"/>
      <c r="I12" s="159"/>
      <c r="J12" s="18" t="s">
        <v>28</v>
      </c>
      <c r="K12" s="16"/>
      <c r="L12" s="17"/>
      <c r="M12" s="17"/>
      <c r="N12" s="17"/>
      <c r="O12" s="17"/>
      <c r="P12" s="16"/>
      <c r="Q12" s="16"/>
      <c r="R12" s="16"/>
      <c r="S12" s="16"/>
      <c r="T12" s="15"/>
      <c r="U12" s="14"/>
      <c r="V12" s="14"/>
      <c r="W12" s="14"/>
      <c r="X12" s="14"/>
      <c r="Y12" s="13"/>
      <c r="Z12" s="6" t="e">
        <f t="shared" si="0"/>
        <v>#DIV/0!</v>
      </c>
      <c r="AA12" s="148"/>
      <c r="AB12" s="148"/>
      <c r="AC12" s="152"/>
      <c r="AD12" s="152"/>
      <c r="AE12" s="164"/>
      <c r="AF12" s="148"/>
      <c r="AG12" s="148"/>
      <c r="AH12" s="183"/>
    </row>
    <row r="13" spans="2:34" ht="35.1" customHeight="1" thickTop="1" thickBot="1" x14ac:dyDescent="0.25">
      <c r="B13" s="142"/>
      <c r="C13" s="142"/>
      <c r="D13" s="142"/>
      <c r="E13" s="142"/>
      <c r="F13" s="142"/>
      <c r="G13" s="142"/>
      <c r="H13" s="142"/>
      <c r="I13" s="159"/>
      <c r="J13" s="18" t="s">
        <v>27</v>
      </c>
      <c r="K13" s="16"/>
      <c r="L13" s="17"/>
      <c r="M13" s="17"/>
      <c r="N13" s="17"/>
      <c r="O13" s="17"/>
      <c r="P13" s="16"/>
      <c r="Q13" s="16"/>
      <c r="R13" s="16"/>
      <c r="S13" s="16"/>
      <c r="T13" s="15"/>
      <c r="U13" s="14"/>
      <c r="V13" s="14"/>
      <c r="W13" s="14"/>
      <c r="X13" s="14"/>
      <c r="Y13" s="13"/>
      <c r="Z13" s="6" t="e">
        <f t="shared" si="0"/>
        <v>#DIV/0!</v>
      </c>
      <c r="AA13" s="148"/>
      <c r="AB13" s="148"/>
      <c r="AC13" s="152"/>
      <c r="AD13" s="152"/>
      <c r="AE13" s="164"/>
      <c r="AF13" s="148"/>
      <c r="AG13" s="148"/>
      <c r="AH13" s="183"/>
    </row>
    <row r="14" spans="2:34" ht="35.1" customHeight="1" thickTop="1" thickBot="1" x14ac:dyDescent="0.25">
      <c r="B14" s="142"/>
      <c r="C14" s="142"/>
      <c r="D14" s="142"/>
      <c r="E14" s="142"/>
      <c r="F14" s="142"/>
      <c r="G14" s="142"/>
      <c r="H14" s="142"/>
      <c r="I14" s="159"/>
      <c r="J14" s="18" t="s">
        <v>26</v>
      </c>
      <c r="K14" s="16"/>
      <c r="L14" s="17"/>
      <c r="M14" s="17"/>
      <c r="N14" s="17"/>
      <c r="O14" s="17"/>
      <c r="P14" s="16"/>
      <c r="Q14" s="16"/>
      <c r="R14" s="16"/>
      <c r="S14" s="16"/>
      <c r="T14" s="15"/>
      <c r="U14" s="14"/>
      <c r="V14" s="14"/>
      <c r="W14" s="14"/>
      <c r="X14" s="14"/>
      <c r="Y14" s="13"/>
      <c r="Z14" s="6" t="e">
        <f t="shared" si="0"/>
        <v>#DIV/0!</v>
      </c>
      <c r="AA14" s="148"/>
      <c r="AB14" s="148"/>
      <c r="AC14" s="152"/>
      <c r="AD14" s="152"/>
      <c r="AE14" s="164"/>
      <c r="AF14" s="148"/>
      <c r="AG14" s="148"/>
      <c r="AH14" s="183"/>
    </row>
    <row r="15" spans="2:34" ht="35.1" customHeight="1" thickTop="1" thickBot="1" x14ac:dyDescent="0.25">
      <c r="B15" s="143"/>
      <c r="C15" s="143"/>
      <c r="D15" s="143"/>
      <c r="E15" s="143"/>
      <c r="F15" s="143"/>
      <c r="G15" s="143"/>
      <c r="H15" s="143"/>
      <c r="I15" s="160"/>
      <c r="J15" s="12" t="s">
        <v>25</v>
      </c>
      <c r="K15" s="10"/>
      <c r="L15" s="11"/>
      <c r="M15" s="11"/>
      <c r="N15" s="11"/>
      <c r="O15" s="11"/>
      <c r="P15" s="10"/>
      <c r="Q15" s="10"/>
      <c r="R15" s="10"/>
      <c r="S15" s="10"/>
      <c r="T15" s="9"/>
      <c r="U15" s="8"/>
      <c r="V15" s="8"/>
      <c r="W15" s="8"/>
      <c r="X15" s="8"/>
      <c r="Y15" s="7"/>
      <c r="Z15" s="6" t="e">
        <f t="shared" si="0"/>
        <v>#DIV/0!</v>
      </c>
      <c r="AA15" s="149"/>
      <c r="AB15" s="149"/>
      <c r="AC15" s="153"/>
      <c r="AD15" s="153"/>
      <c r="AE15" s="165"/>
      <c r="AF15" s="149"/>
      <c r="AG15" s="149"/>
      <c r="AH15" s="184"/>
    </row>
    <row r="16" spans="2:34" ht="35.1" customHeight="1" thickTop="1" thickBot="1" x14ac:dyDescent="0.25">
      <c r="B16" s="141"/>
      <c r="C16" s="141"/>
      <c r="D16" s="141"/>
      <c r="E16" s="141"/>
      <c r="F16" s="141"/>
      <c r="G16" s="141"/>
      <c r="H16" s="141"/>
      <c r="I16" s="158"/>
      <c r="J16" s="18" t="s">
        <v>30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e">
        <f t="shared" si="0"/>
        <v>#DIV/0!</v>
      </c>
      <c r="AA16" s="147" t="e">
        <f>AVERAGE(Z16,Z17,Z18,Z21)</f>
        <v>#DIV/0!</v>
      </c>
      <c r="AB16" s="150"/>
      <c r="AC16" s="151"/>
      <c r="AD16" s="151"/>
      <c r="AE16" s="163"/>
      <c r="AF16" s="150"/>
      <c r="AG16" s="150"/>
      <c r="AH16" s="182" t="e">
        <f t="shared" ref="AH16" si="2">(AC16)/AB16</f>
        <v>#DIV/0!</v>
      </c>
    </row>
    <row r="17" spans="2:34" ht="35.1" customHeight="1" thickTop="1" thickBot="1" x14ac:dyDescent="0.25">
      <c r="B17" s="142"/>
      <c r="C17" s="142"/>
      <c r="D17" s="142"/>
      <c r="E17" s="142"/>
      <c r="F17" s="142"/>
      <c r="G17" s="142"/>
      <c r="H17" s="142"/>
      <c r="I17" s="159"/>
      <c r="J17" s="18" t="s">
        <v>29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e">
        <f t="shared" si="0"/>
        <v>#DIV/0!</v>
      </c>
      <c r="AA17" s="148"/>
      <c r="AB17" s="148"/>
      <c r="AC17" s="152"/>
      <c r="AD17" s="152"/>
      <c r="AE17" s="164"/>
      <c r="AF17" s="148"/>
      <c r="AG17" s="148"/>
      <c r="AH17" s="183"/>
    </row>
    <row r="18" spans="2:34" ht="35.1" customHeight="1" thickTop="1" thickBot="1" x14ac:dyDescent="0.25">
      <c r="B18" s="142"/>
      <c r="C18" s="142"/>
      <c r="D18" s="142"/>
      <c r="E18" s="142"/>
      <c r="F18" s="142"/>
      <c r="G18" s="142"/>
      <c r="H18" s="142"/>
      <c r="I18" s="159"/>
      <c r="J18" s="18" t="s">
        <v>28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e">
        <f t="shared" si="0"/>
        <v>#DIV/0!</v>
      </c>
      <c r="AA18" s="148"/>
      <c r="AB18" s="148"/>
      <c r="AC18" s="152"/>
      <c r="AD18" s="152"/>
      <c r="AE18" s="164"/>
      <c r="AF18" s="148"/>
      <c r="AG18" s="148"/>
      <c r="AH18" s="183"/>
    </row>
    <row r="19" spans="2:34" ht="35.1" customHeight="1" thickTop="1" thickBot="1" x14ac:dyDescent="0.25">
      <c r="B19" s="142"/>
      <c r="C19" s="142"/>
      <c r="D19" s="142"/>
      <c r="E19" s="142"/>
      <c r="F19" s="142"/>
      <c r="G19" s="142"/>
      <c r="H19" s="142"/>
      <c r="I19" s="159"/>
      <c r="J19" s="18" t="s">
        <v>27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e">
        <f t="shared" si="0"/>
        <v>#DIV/0!</v>
      </c>
      <c r="AA19" s="148"/>
      <c r="AB19" s="148"/>
      <c r="AC19" s="152"/>
      <c r="AD19" s="152"/>
      <c r="AE19" s="164"/>
      <c r="AF19" s="148"/>
      <c r="AG19" s="148"/>
      <c r="AH19" s="183"/>
    </row>
    <row r="20" spans="2:34" ht="35.1" customHeight="1" thickTop="1" thickBot="1" x14ac:dyDescent="0.25">
      <c r="B20" s="142"/>
      <c r="C20" s="142"/>
      <c r="D20" s="142"/>
      <c r="E20" s="142"/>
      <c r="F20" s="142"/>
      <c r="G20" s="142"/>
      <c r="H20" s="142"/>
      <c r="I20" s="159"/>
      <c r="J20" s="18" t="s">
        <v>26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e">
        <f t="shared" si="0"/>
        <v>#DIV/0!</v>
      </c>
      <c r="AA20" s="148"/>
      <c r="AB20" s="148"/>
      <c r="AC20" s="152"/>
      <c r="AD20" s="152"/>
      <c r="AE20" s="164"/>
      <c r="AF20" s="148"/>
      <c r="AG20" s="148"/>
      <c r="AH20" s="183"/>
    </row>
    <row r="21" spans="2:34" ht="35.1" customHeight="1" thickTop="1" thickBot="1" x14ac:dyDescent="0.25">
      <c r="B21" s="143"/>
      <c r="C21" s="143"/>
      <c r="D21" s="143"/>
      <c r="E21" s="143"/>
      <c r="F21" s="143"/>
      <c r="G21" s="143"/>
      <c r="H21" s="143"/>
      <c r="I21" s="160"/>
      <c r="J21" s="12" t="s">
        <v>25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e">
        <f t="shared" si="0"/>
        <v>#DIV/0!</v>
      </c>
      <c r="AA21" s="149"/>
      <c r="AB21" s="149"/>
      <c r="AC21" s="153"/>
      <c r="AD21" s="153"/>
      <c r="AE21" s="165"/>
      <c r="AF21" s="149"/>
      <c r="AG21" s="149"/>
      <c r="AH21" s="184"/>
    </row>
    <row r="22" spans="2:34" ht="35.1" customHeight="1" thickTop="1" thickBot="1" x14ac:dyDescent="0.25">
      <c r="B22" s="141"/>
      <c r="C22" s="141"/>
      <c r="D22" s="141"/>
      <c r="E22" s="141"/>
      <c r="F22" s="141"/>
      <c r="G22" s="141"/>
      <c r="H22" s="141"/>
      <c r="I22" s="158"/>
      <c r="J22" s="18" t="s">
        <v>30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e">
        <f t="shared" si="0"/>
        <v>#DIV/0!</v>
      </c>
      <c r="AA22" s="147" t="e">
        <f>AVERAGE(Z22,Z23,Z24,Z27)</f>
        <v>#DIV/0!</v>
      </c>
      <c r="AB22" s="150"/>
      <c r="AC22" s="151"/>
      <c r="AD22" s="151"/>
      <c r="AE22" s="163"/>
      <c r="AF22" s="150"/>
      <c r="AG22" s="150"/>
      <c r="AH22" s="182" t="e">
        <f t="shared" ref="AH22" si="3">(AC22)/AB22</f>
        <v>#DIV/0!</v>
      </c>
    </row>
    <row r="23" spans="2:34" ht="35.1" customHeight="1" thickTop="1" thickBot="1" x14ac:dyDescent="0.25">
      <c r="B23" s="142"/>
      <c r="C23" s="142"/>
      <c r="D23" s="142"/>
      <c r="E23" s="142"/>
      <c r="F23" s="142"/>
      <c r="G23" s="142"/>
      <c r="H23" s="142"/>
      <c r="I23" s="159"/>
      <c r="J23" s="18" t="s">
        <v>29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e">
        <f t="shared" si="0"/>
        <v>#DIV/0!</v>
      </c>
      <c r="AA23" s="148"/>
      <c r="AB23" s="148"/>
      <c r="AC23" s="152"/>
      <c r="AD23" s="152"/>
      <c r="AE23" s="164"/>
      <c r="AF23" s="148"/>
      <c r="AG23" s="148"/>
      <c r="AH23" s="183"/>
    </row>
    <row r="24" spans="2:34" ht="35.1" customHeight="1" thickTop="1" thickBot="1" x14ac:dyDescent="0.25">
      <c r="B24" s="142"/>
      <c r="C24" s="142"/>
      <c r="D24" s="142"/>
      <c r="E24" s="142"/>
      <c r="F24" s="142"/>
      <c r="G24" s="142"/>
      <c r="H24" s="142"/>
      <c r="I24" s="159"/>
      <c r="J24" s="18" t="s">
        <v>28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e">
        <f t="shared" si="0"/>
        <v>#DIV/0!</v>
      </c>
      <c r="AA24" s="148"/>
      <c r="AB24" s="148"/>
      <c r="AC24" s="152"/>
      <c r="AD24" s="152"/>
      <c r="AE24" s="164"/>
      <c r="AF24" s="148"/>
      <c r="AG24" s="148"/>
      <c r="AH24" s="183"/>
    </row>
    <row r="25" spans="2:34" ht="35.1" customHeight="1" thickTop="1" thickBot="1" x14ac:dyDescent="0.25">
      <c r="B25" s="142"/>
      <c r="C25" s="142"/>
      <c r="D25" s="142"/>
      <c r="E25" s="142"/>
      <c r="F25" s="142"/>
      <c r="G25" s="142"/>
      <c r="H25" s="142"/>
      <c r="I25" s="159"/>
      <c r="J25" s="18" t="s">
        <v>27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e">
        <f t="shared" si="0"/>
        <v>#DIV/0!</v>
      </c>
      <c r="AA25" s="148"/>
      <c r="AB25" s="148"/>
      <c r="AC25" s="152"/>
      <c r="AD25" s="152"/>
      <c r="AE25" s="164"/>
      <c r="AF25" s="148"/>
      <c r="AG25" s="148"/>
      <c r="AH25" s="183"/>
    </row>
    <row r="26" spans="2:34" ht="35.1" customHeight="1" thickTop="1" thickBot="1" x14ac:dyDescent="0.25">
      <c r="B26" s="142"/>
      <c r="C26" s="142"/>
      <c r="D26" s="142"/>
      <c r="E26" s="142"/>
      <c r="F26" s="142"/>
      <c r="G26" s="142"/>
      <c r="H26" s="142"/>
      <c r="I26" s="159"/>
      <c r="J26" s="18" t="s">
        <v>26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e">
        <f t="shared" si="0"/>
        <v>#DIV/0!</v>
      </c>
      <c r="AA26" s="148"/>
      <c r="AB26" s="148"/>
      <c r="AC26" s="152"/>
      <c r="AD26" s="152"/>
      <c r="AE26" s="164"/>
      <c r="AF26" s="148"/>
      <c r="AG26" s="148"/>
      <c r="AH26" s="183"/>
    </row>
    <row r="27" spans="2:34" ht="35.1" customHeight="1" thickTop="1" thickBot="1" x14ac:dyDescent="0.25">
      <c r="B27" s="143"/>
      <c r="C27" s="143"/>
      <c r="D27" s="143"/>
      <c r="E27" s="143"/>
      <c r="F27" s="143"/>
      <c r="G27" s="143"/>
      <c r="H27" s="143"/>
      <c r="I27" s="160"/>
      <c r="J27" s="12" t="s">
        <v>25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e">
        <f t="shared" si="0"/>
        <v>#DIV/0!</v>
      </c>
      <c r="AA27" s="149"/>
      <c r="AB27" s="149"/>
      <c r="AC27" s="153"/>
      <c r="AD27" s="153"/>
      <c r="AE27" s="165"/>
      <c r="AF27" s="149"/>
      <c r="AG27" s="149"/>
      <c r="AH27" s="184"/>
    </row>
    <row r="28" spans="2:34" ht="35.1" customHeight="1" thickTop="1" thickBot="1" x14ac:dyDescent="0.25">
      <c r="B28" s="141"/>
      <c r="C28" s="141"/>
      <c r="D28" s="141"/>
      <c r="E28" s="141"/>
      <c r="F28" s="141"/>
      <c r="G28" s="141"/>
      <c r="H28" s="141"/>
      <c r="I28" s="158"/>
      <c r="J28" s="18" t="s">
        <v>30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e">
        <f t="shared" si="0"/>
        <v>#DIV/0!</v>
      </c>
      <c r="AA28" s="147" t="e">
        <f>AVERAGE(Z28,Z29,Z30,Z33)</f>
        <v>#DIV/0!</v>
      </c>
      <c r="AB28" s="150"/>
      <c r="AC28" s="151"/>
      <c r="AD28" s="151"/>
      <c r="AE28" s="163"/>
      <c r="AF28" s="150"/>
      <c r="AG28" s="150"/>
      <c r="AH28" s="182" t="e">
        <f t="shared" ref="AH28" si="4">(AC28)/AB28</f>
        <v>#DIV/0!</v>
      </c>
    </row>
    <row r="29" spans="2:34" ht="35.1" customHeight="1" thickTop="1" thickBot="1" x14ac:dyDescent="0.25">
      <c r="B29" s="142"/>
      <c r="C29" s="142"/>
      <c r="D29" s="142"/>
      <c r="E29" s="142"/>
      <c r="F29" s="142"/>
      <c r="G29" s="142"/>
      <c r="H29" s="142"/>
      <c r="I29" s="159"/>
      <c r="J29" s="18" t="s">
        <v>29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e">
        <f t="shared" si="0"/>
        <v>#DIV/0!</v>
      </c>
      <c r="AA29" s="148"/>
      <c r="AB29" s="148"/>
      <c r="AC29" s="152"/>
      <c r="AD29" s="152"/>
      <c r="AE29" s="164"/>
      <c r="AF29" s="148"/>
      <c r="AG29" s="148"/>
      <c r="AH29" s="183"/>
    </row>
    <row r="30" spans="2:34" ht="35.1" customHeight="1" thickTop="1" thickBot="1" x14ac:dyDescent="0.25">
      <c r="B30" s="142"/>
      <c r="C30" s="142"/>
      <c r="D30" s="142"/>
      <c r="E30" s="142"/>
      <c r="F30" s="142"/>
      <c r="G30" s="142"/>
      <c r="H30" s="142"/>
      <c r="I30" s="159"/>
      <c r="J30" s="18" t="s">
        <v>28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e">
        <f t="shared" si="0"/>
        <v>#DIV/0!</v>
      </c>
      <c r="AA30" s="148"/>
      <c r="AB30" s="148"/>
      <c r="AC30" s="152"/>
      <c r="AD30" s="152"/>
      <c r="AE30" s="164"/>
      <c r="AF30" s="148"/>
      <c r="AG30" s="148"/>
      <c r="AH30" s="183"/>
    </row>
    <row r="31" spans="2:34" ht="35.1" customHeight="1" thickTop="1" thickBot="1" x14ac:dyDescent="0.25">
      <c r="B31" s="142"/>
      <c r="C31" s="142"/>
      <c r="D31" s="142"/>
      <c r="E31" s="142"/>
      <c r="F31" s="142"/>
      <c r="G31" s="142"/>
      <c r="H31" s="142"/>
      <c r="I31" s="159"/>
      <c r="J31" s="18" t="s">
        <v>27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e">
        <f t="shared" si="0"/>
        <v>#DIV/0!</v>
      </c>
      <c r="AA31" s="148"/>
      <c r="AB31" s="148"/>
      <c r="AC31" s="152"/>
      <c r="AD31" s="152"/>
      <c r="AE31" s="164"/>
      <c r="AF31" s="148"/>
      <c r="AG31" s="148"/>
      <c r="AH31" s="183"/>
    </row>
    <row r="32" spans="2:34" ht="35.1" customHeight="1" thickTop="1" thickBot="1" x14ac:dyDescent="0.25">
      <c r="B32" s="142"/>
      <c r="C32" s="142"/>
      <c r="D32" s="142"/>
      <c r="E32" s="142"/>
      <c r="F32" s="142"/>
      <c r="G32" s="142"/>
      <c r="H32" s="142"/>
      <c r="I32" s="159"/>
      <c r="J32" s="18" t="s">
        <v>26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e">
        <f t="shared" si="0"/>
        <v>#DIV/0!</v>
      </c>
      <c r="AA32" s="148"/>
      <c r="AB32" s="148"/>
      <c r="AC32" s="152"/>
      <c r="AD32" s="152"/>
      <c r="AE32" s="164"/>
      <c r="AF32" s="148"/>
      <c r="AG32" s="148"/>
      <c r="AH32" s="183"/>
    </row>
    <row r="33" spans="2:34" ht="35.1" customHeight="1" thickTop="1" thickBot="1" x14ac:dyDescent="0.25">
      <c r="B33" s="143"/>
      <c r="C33" s="143"/>
      <c r="D33" s="143"/>
      <c r="E33" s="143"/>
      <c r="F33" s="143"/>
      <c r="G33" s="143"/>
      <c r="H33" s="143"/>
      <c r="I33" s="160"/>
      <c r="J33" s="12" t="s">
        <v>25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e">
        <f t="shared" si="0"/>
        <v>#DIV/0!</v>
      </c>
      <c r="AA33" s="149"/>
      <c r="AB33" s="149"/>
      <c r="AC33" s="153"/>
      <c r="AD33" s="153"/>
      <c r="AE33" s="165"/>
      <c r="AF33" s="149"/>
      <c r="AG33" s="149"/>
      <c r="AH33" s="184"/>
    </row>
    <row r="34" spans="2:34" ht="35.1" customHeight="1" thickTop="1" thickBot="1" x14ac:dyDescent="0.25">
      <c r="B34" s="141"/>
      <c r="C34" s="141"/>
      <c r="D34" s="141"/>
      <c r="E34" s="141"/>
      <c r="F34" s="141"/>
      <c r="G34" s="141"/>
      <c r="H34" s="141"/>
      <c r="I34" s="158"/>
      <c r="J34" s="18" t="s">
        <v>30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e">
        <f t="shared" si="0"/>
        <v>#DIV/0!</v>
      </c>
      <c r="AA34" s="147" t="e">
        <f>AVERAGE(Z34,Z35,Z36,Z39)</f>
        <v>#DIV/0!</v>
      </c>
      <c r="AB34" s="150"/>
      <c r="AC34" s="151"/>
      <c r="AD34" s="151"/>
      <c r="AE34" s="163"/>
      <c r="AF34" s="150"/>
      <c r="AG34" s="150"/>
      <c r="AH34" s="182" t="e">
        <f t="shared" ref="AH34" si="5">(AC34)/AB34</f>
        <v>#DIV/0!</v>
      </c>
    </row>
    <row r="35" spans="2:34" ht="35.1" customHeight="1" thickTop="1" thickBot="1" x14ac:dyDescent="0.25">
      <c r="B35" s="142"/>
      <c r="C35" s="142"/>
      <c r="D35" s="142"/>
      <c r="E35" s="142"/>
      <c r="F35" s="142"/>
      <c r="G35" s="142"/>
      <c r="H35" s="142"/>
      <c r="I35" s="159"/>
      <c r="J35" s="18" t="s">
        <v>29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e">
        <f t="shared" si="0"/>
        <v>#DIV/0!</v>
      </c>
      <c r="AA35" s="148"/>
      <c r="AB35" s="148"/>
      <c r="AC35" s="152"/>
      <c r="AD35" s="152"/>
      <c r="AE35" s="164"/>
      <c r="AF35" s="148"/>
      <c r="AG35" s="148"/>
      <c r="AH35" s="183"/>
    </row>
    <row r="36" spans="2:34" ht="35.1" customHeight="1" thickTop="1" thickBot="1" x14ac:dyDescent="0.25">
      <c r="B36" s="142"/>
      <c r="C36" s="142"/>
      <c r="D36" s="142"/>
      <c r="E36" s="142"/>
      <c r="F36" s="142"/>
      <c r="G36" s="142"/>
      <c r="H36" s="142"/>
      <c r="I36" s="159"/>
      <c r="J36" s="18" t="s">
        <v>28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e">
        <f t="shared" si="0"/>
        <v>#DIV/0!</v>
      </c>
      <c r="AA36" s="148"/>
      <c r="AB36" s="148"/>
      <c r="AC36" s="152"/>
      <c r="AD36" s="152"/>
      <c r="AE36" s="164"/>
      <c r="AF36" s="148"/>
      <c r="AG36" s="148"/>
      <c r="AH36" s="183"/>
    </row>
    <row r="37" spans="2:34" ht="35.1" customHeight="1" thickTop="1" thickBot="1" x14ac:dyDescent="0.25">
      <c r="B37" s="142"/>
      <c r="C37" s="142"/>
      <c r="D37" s="142"/>
      <c r="E37" s="142"/>
      <c r="F37" s="142"/>
      <c r="G37" s="142"/>
      <c r="H37" s="142"/>
      <c r="I37" s="159"/>
      <c r="J37" s="18" t="s">
        <v>27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e">
        <f t="shared" si="0"/>
        <v>#DIV/0!</v>
      </c>
      <c r="AA37" s="148"/>
      <c r="AB37" s="148"/>
      <c r="AC37" s="152"/>
      <c r="AD37" s="152"/>
      <c r="AE37" s="164"/>
      <c r="AF37" s="148"/>
      <c r="AG37" s="148"/>
      <c r="AH37" s="183"/>
    </row>
    <row r="38" spans="2:34" ht="35.1" customHeight="1" thickTop="1" thickBot="1" x14ac:dyDescent="0.25">
      <c r="B38" s="142"/>
      <c r="C38" s="142"/>
      <c r="D38" s="142"/>
      <c r="E38" s="142"/>
      <c r="F38" s="142"/>
      <c r="G38" s="142"/>
      <c r="H38" s="142"/>
      <c r="I38" s="159"/>
      <c r="J38" s="18" t="s">
        <v>26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e">
        <f t="shared" si="0"/>
        <v>#DIV/0!</v>
      </c>
      <c r="AA38" s="148"/>
      <c r="AB38" s="148"/>
      <c r="AC38" s="152"/>
      <c r="AD38" s="152"/>
      <c r="AE38" s="164"/>
      <c r="AF38" s="148"/>
      <c r="AG38" s="148"/>
      <c r="AH38" s="183"/>
    </row>
    <row r="39" spans="2:34" ht="35.1" customHeight="1" thickTop="1" thickBot="1" x14ac:dyDescent="0.25">
      <c r="B39" s="143"/>
      <c r="C39" s="143"/>
      <c r="D39" s="143"/>
      <c r="E39" s="143"/>
      <c r="F39" s="143"/>
      <c r="G39" s="143"/>
      <c r="H39" s="143"/>
      <c r="I39" s="160"/>
      <c r="J39" s="12" t="s">
        <v>25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e">
        <f t="shared" si="0"/>
        <v>#DIV/0!</v>
      </c>
      <c r="AA39" s="149"/>
      <c r="AB39" s="149"/>
      <c r="AC39" s="153"/>
      <c r="AD39" s="153"/>
      <c r="AE39" s="165"/>
      <c r="AF39" s="149"/>
      <c r="AG39" s="149"/>
      <c r="AH39" s="184"/>
    </row>
    <row r="40" spans="2:34" ht="35.1" customHeight="1" thickTop="1" thickBot="1" x14ac:dyDescent="0.25">
      <c r="B40" s="141"/>
      <c r="C40" s="141"/>
      <c r="D40" s="141"/>
      <c r="E40" s="141"/>
      <c r="F40" s="141"/>
      <c r="G40" s="141"/>
      <c r="H40" s="141"/>
      <c r="I40" s="158"/>
      <c r="J40" s="18" t="s">
        <v>30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e">
        <f t="shared" si="0"/>
        <v>#DIV/0!</v>
      </c>
      <c r="AA40" s="147" t="e">
        <f>AVERAGE(Z40,Z41,Z42,Z45)</f>
        <v>#DIV/0!</v>
      </c>
      <c r="AB40" s="150"/>
      <c r="AC40" s="151"/>
      <c r="AD40" s="151"/>
      <c r="AE40" s="163"/>
      <c r="AF40" s="150"/>
      <c r="AG40" s="150"/>
      <c r="AH40" s="182" t="e">
        <f t="shared" ref="AH40" si="6">(AC40)/AB40</f>
        <v>#DIV/0!</v>
      </c>
    </row>
    <row r="41" spans="2:34" ht="35.1" customHeight="1" thickTop="1" thickBot="1" x14ac:dyDescent="0.25">
      <c r="B41" s="142"/>
      <c r="C41" s="142"/>
      <c r="D41" s="142"/>
      <c r="E41" s="142"/>
      <c r="F41" s="142"/>
      <c r="G41" s="142"/>
      <c r="H41" s="142"/>
      <c r="I41" s="159"/>
      <c r="J41" s="18" t="s">
        <v>29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e">
        <f t="shared" si="0"/>
        <v>#DIV/0!</v>
      </c>
      <c r="AA41" s="148"/>
      <c r="AB41" s="148"/>
      <c r="AC41" s="152"/>
      <c r="AD41" s="152"/>
      <c r="AE41" s="164"/>
      <c r="AF41" s="148"/>
      <c r="AG41" s="148"/>
      <c r="AH41" s="183"/>
    </row>
    <row r="42" spans="2:34" ht="35.1" customHeight="1" thickTop="1" thickBot="1" x14ac:dyDescent="0.25">
      <c r="B42" s="142"/>
      <c r="C42" s="142"/>
      <c r="D42" s="142"/>
      <c r="E42" s="142"/>
      <c r="F42" s="142"/>
      <c r="G42" s="142"/>
      <c r="H42" s="142"/>
      <c r="I42" s="159"/>
      <c r="J42" s="18" t="s">
        <v>28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e">
        <f t="shared" si="0"/>
        <v>#DIV/0!</v>
      </c>
      <c r="AA42" s="148"/>
      <c r="AB42" s="148"/>
      <c r="AC42" s="152"/>
      <c r="AD42" s="152"/>
      <c r="AE42" s="164"/>
      <c r="AF42" s="148"/>
      <c r="AG42" s="148"/>
      <c r="AH42" s="183"/>
    </row>
    <row r="43" spans="2:34" ht="35.1" customHeight="1" thickTop="1" thickBot="1" x14ac:dyDescent="0.25">
      <c r="B43" s="142"/>
      <c r="C43" s="142"/>
      <c r="D43" s="142"/>
      <c r="E43" s="142"/>
      <c r="F43" s="142"/>
      <c r="G43" s="142"/>
      <c r="H43" s="142"/>
      <c r="I43" s="159"/>
      <c r="J43" s="18" t="s">
        <v>27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e">
        <f t="shared" si="0"/>
        <v>#DIV/0!</v>
      </c>
      <c r="AA43" s="148"/>
      <c r="AB43" s="148"/>
      <c r="AC43" s="152"/>
      <c r="AD43" s="152"/>
      <c r="AE43" s="164"/>
      <c r="AF43" s="148"/>
      <c r="AG43" s="148"/>
      <c r="AH43" s="183"/>
    </row>
    <row r="44" spans="2:34" ht="35.1" customHeight="1" thickTop="1" thickBot="1" x14ac:dyDescent="0.25">
      <c r="B44" s="142"/>
      <c r="C44" s="142"/>
      <c r="D44" s="142"/>
      <c r="E44" s="142"/>
      <c r="F44" s="142"/>
      <c r="G44" s="142"/>
      <c r="H44" s="142"/>
      <c r="I44" s="159"/>
      <c r="J44" s="18" t="s">
        <v>26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e">
        <f t="shared" si="0"/>
        <v>#DIV/0!</v>
      </c>
      <c r="AA44" s="148"/>
      <c r="AB44" s="148"/>
      <c r="AC44" s="152"/>
      <c r="AD44" s="152"/>
      <c r="AE44" s="164"/>
      <c r="AF44" s="148"/>
      <c r="AG44" s="148"/>
      <c r="AH44" s="183"/>
    </row>
    <row r="45" spans="2:34" ht="35.1" customHeight="1" thickTop="1" thickBot="1" x14ac:dyDescent="0.25">
      <c r="B45" s="143"/>
      <c r="C45" s="143"/>
      <c r="D45" s="143"/>
      <c r="E45" s="143"/>
      <c r="F45" s="143"/>
      <c r="G45" s="143"/>
      <c r="H45" s="143"/>
      <c r="I45" s="160"/>
      <c r="J45" s="12" t="s">
        <v>25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e">
        <f t="shared" si="0"/>
        <v>#DIV/0!</v>
      </c>
      <c r="AA45" s="149"/>
      <c r="AB45" s="149"/>
      <c r="AC45" s="153"/>
      <c r="AD45" s="153"/>
      <c r="AE45" s="165"/>
      <c r="AF45" s="149"/>
      <c r="AG45" s="149"/>
      <c r="AH45" s="184"/>
    </row>
    <row r="46" spans="2:34" ht="35.1" customHeight="1" thickTop="1" thickBot="1" x14ac:dyDescent="0.25">
      <c r="B46" s="141"/>
      <c r="C46" s="141"/>
      <c r="D46" s="141"/>
      <c r="E46" s="141"/>
      <c r="F46" s="141"/>
      <c r="G46" s="141"/>
      <c r="H46" s="141"/>
      <c r="I46" s="158"/>
      <c r="J46" s="18" t="s">
        <v>30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e">
        <f t="shared" si="0"/>
        <v>#DIV/0!</v>
      </c>
      <c r="AA46" s="147" t="e">
        <f>AVERAGE(Z46,Z47,Z48,Z51)</f>
        <v>#DIV/0!</v>
      </c>
      <c r="AB46" s="150"/>
      <c r="AC46" s="151"/>
      <c r="AD46" s="151"/>
      <c r="AE46" s="163"/>
      <c r="AF46" s="150"/>
      <c r="AG46" s="150"/>
      <c r="AH46" s="182" t="e">
        <f t="shared" ref="AH46" si="7">(AC46)/AB46</f>
        <v>#DIV/0!</v>
      </c>
    </row>
    <row r="47" spans="2:34" ht="35.1" customHeight="1" thickTop="1" thickBot="1" x14ac:dyDescent="0.25">
      <c r="B47" s="142"/>
      <c r="C47" s="142"/>
      <c r="D47" s="142"/>
      <c r="E47" s="142"/>
      <c r="F47" s="142"/>
      <c r="G47" s="142"/>
      <c r="H47" s="142"/>
      <c r="I47" s="159"/>
      <c r="J47" s="18" t="s">
        <v>29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e">
        <f t="shared" si="0"/>
        <v>#DIV/0!</v>
      </c>
      <c r="AA47" s="148"/>
      <c r="AB47" s="148"/>
      <c r="AC47" s="152"/>
      <c r="AD47" s="152"/>
      <c r="AE47" s="164"/>
      <c r="AF47" s="148"/>
      <c r="AG47" s="148"/>
      <c r="AH47" s="183"/>
    </row>
    <row r="48" spans="2:34" ht="35.1" customHeight="1" thickTop="1" thickBot="1" x14ac:dyDescent="0.25">
      <c r="B48" s="142"/>
      <c r="C48" s="142"/>
      <c r="D48" s="142"/>
      <c r="E48" s="142"/>
      <c r="F48" s="142"/>
      <c r="G48" s="142"/>
      <c r="H48" s="142"/>
      <c r="I48" s="159"/>
      <c r="J48" s="18" t="s">
        <v>28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e">
        <f t="shared" si="0"/>
        <v>#DIV/0!</v>
      </c>
      <c r="AA48" s="148"/>
      <c r="AB48" s="148"/>
      <c r="AC48" s="152"/>
      <c r="AD48" s="152"/>
      <c r="AE48" s="164"/>
      <c r="AF48" s="148"/>
      <c r="AG48" s="148"/>
      <c r="AH48" s="183"/>
    </row>
    <row r="49" spans="2:34" ht="35.1" customHeight="1" thickTop="1" thickBot="1" x14ac:dyDescent="0.25">
      <c r="B49" s="142"/>
      <c r="C49" s="142"/>
      <c r="D49" s="142"/>
      <c r="E49" s="142"/>
      <c r="F49" s="142"/>
      <c r="G49" s="142"/>
      <c r="H49" s="142"/>
      <c r="I49" s="159"/>
      <c r="J49" s="18" t="s">
        <v>27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e">
        <f t="shared" si="0"/>
        <v>#DIV/0!</v>
      </c>
      <c r="AA49" s="148"/>
      <c r="AB49" s="148"/>
      <c r="AC49" s="152"/>
      <c r="AD49" s="152"/>
      <c r="AE49" s="164"/>
      <c r="AF49" s="148"/>
      <c r="AG49" s="148"/>
      <c r="AH49" s="183"/>
    </row>
    <row r="50" spans="2:34" ht="35.1" customHeight="1" thickTop="1" thickBot="1" x14ac:dyDescent="0.25">
      <c r="B50" s="142"/>
      <c r="C50" s="142"/>
      <c r="D50" s="142"/>
      <c r="E50" s="142"/>
      <c r="F50" s="142"/>
      <c r="G50" s="142"/>
      <c r="H50" s="142"/>
      <c r="I50" s="159"/>
      <c r="J50" s="18" t="s">
        <v>26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e">
        <f t="shared" si="0"/>
        <v>#DIV/0!</v>
      </c>
      <c r="AA50" s="148"/>
      <c r="AB50" s="148"/>
      <c r="AC50" s="152"/>
      <c r="AD50" s="152"/>
      <c r="AE50" s="164"/>
      <c r="AF50" s="148"/>
      <c r="AG50" s="148"/>
      <c r="AH50" s="183"/>
    </row>
    <row r="51" spans="2:34" ht="35.1" customHeight="1" thickTop="1" thickBot="1" x14ac:dyDescent="0.25">
      <c r="B51" s="143"/>
      <c r="C51" s="143"/>
      <c r="D51" s="143"/>
      <c r="E51" s="143"/>
      <c r="F51" s="143"/>
      <c r="G51" s="143"/>
      <c r="H51" s="143"/>
      <c r="I51" s="160"/>
      <c r="J51" s="12" t="s">
        <v>25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e">
        <f t="shared" si="0"/>
        <v>#DIV/0!</v>
      </c>
      <c r="AA51" s="149"/>
      <c r="AB51" s="149"/>
      <c r="AC51" s="153"/>
      <c r="AD51" s="153"/>
      <c r="AE51" s="165"/>
      <c r="AF51" s="149"/>
      <c r="AG51" s="149"/>
      <c r="AH51" s="184"/>
    </row>
    <row r="52" spans="2:34" ht="35.1" customHeight="1" thickTop="1" thickBot="1" x14ac:dyDescent="0.25">
      <c r="B52" s="141"/>
      <c r="C52" s="141"/>
      <c r="D52" s="141"/>
      <c r="E52" s="141"/>
      <c r="F52" s="141"/>
      <c r="G52" s="141"/>
      <c r="H52" s="141"/>
      <c r="I52" s="158"/>
      <c r="J52" s="18" t="s">
        <v>30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e">
        <f t="shared" si="0"/>
        <v>#DIV/0!</v>
      </c>
      <c r="AA52" s="147" t="e">
        <f>AVERAGE(Z52,Z53,Z54,Z57)</f>
        <v>#DIV/0!</v>
      </c>
      <c r="AB52" s="150"/>
      <c r="AC52" s="151"/>
      <c r="AD52" s="151"/>
      <c r="AE52" s="163"/>
      <c r="AF52" s="150"/>
      <c r="AG52" s="150"/>
      <c r="AH52" s="182" t="e">
        <f t="shared" ref="AH52" si="8">(AC52)/AB52</f>
        <v>#DIV/0!</v>
      </c>
    </row>
    <row r="53" spans="2:34" ht="35.1" customHeight="1" thickTop="1" thickBot="1" x14ac:dyDescent="0.25">
      <c r="B53" s="142"/>
      <c r="C53" s="142"/>
      <c r="D53" s="142"/>
      <c r="E53" s="142"/>
      <c r="F53" s="142"/>
      <c r="G53" s="142"/>
      <c r="H53" s="142"/>
      <c r="I53" s="159"/>
      <c r="J53" s="18" t="s">
        <v>29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e">
        <f t="shared" si="0"/>
        <v>#DIV/0!</v>
      </c>
      <c r="AA53" s="148"/>
      <c r="AB53" s="148"/>
      <c r="AC53" s="152"/>
      <c r="AD53" s="152"/>
      <c r="AE53" s="164"/>
      <c r="AF53" s="148"/>
      <c r="AG53" s="148"/>
      <c r="AH53" s="183"/>
    </row>
    <row r="54" spans="2:34" ht="35.1" customHeight="1" thickTop="1" thickBot="1" x14ac:dyDescent="0.25">
      <c r="B54" s="142"/>
      <c r="C54" s="142"/>
      <c r="D54" s="142"/>
      <c r="E54" s="142"/>
      <c r="F54" s="142"/>
      <c r="G54" s="142"/>
      <c r="H54" s="142"/>
      <c r="I54" s="159"/>
      <c r="J54" s="18" t="s">
        <v>28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e">
        <f t="shared" si="0"/>
        <v>#DIV/0!</v>
      </c>
      <c r="AA54" s="148"/>
      <c r="AB54" s="148"/>
      <c r="AC54" s="152"/>
      <c r="AD54" s="152"/>
      <c r="AE54" s="164"/>
      <c r="AF54" s="148"/>
      <c r="AG54" s="148"/>
      <c r="AH54" s="183"/>
    </row>
    <row r="55" spans="2:34" ht="35.1" customHeight="1" thickTop="1" thickBot="1" x14ac:dyDescent="0.25">
      <c r="B55" s="142"/>
      <c r="C55" s="142"/>
      <c r="D55" s="142"/>
      <c r="E55" s="142"/>
      <c r="F55" s="142"/>
      <c r="G55" s="142"/>
      <c r="H55" s="142"/>
      <c r="I55" s="159"/>
      <c r="J55" s="18" t="s">
        <v>27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e">
        <f t="shared" si="0"/>
        <v>#DIV/0!</v>
      </c>
      <c r="AA55" s="148"/>
      <c r="AB55" s="148"/>
      <c r="AC55" s="152"/>
      <c r="AD55" s="152"/>
      <c r="AE55" s="164"/>
      <c r="AF55" s="148"/>
      <c r="AG55" s="148"/>
      <c r="AH55" s="183"/>
    </row>
    <row r="56" spans="2:34" ht="35.1" customHeight="1" thickTop="1" thickBot="1" x14ac:dyDescent="0.25">
      <c r="B56" s="142"/>
      <c r="C56" s="142"/>
      <c r="D56" s="142"/>
      <c r="E56" s="142"/>
      <c r="F56" s="142"/>
      <c r="G56" s="142"/>
      <c r="H56" s="142"/>
      <c r="I56" s="159"/>
      <c r="J56" s="18" t="s">
        <v>26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e">
        <f t="shared" si="0"/>
        <v>#DIV/0!</v>
      </c>
      <c r="AA56" s="148"/>
      <c r="AB56" s="148"/>
      <c r="AC56" s="152"/>
      <c r="AD56" s="152"/>
      <c r="AE56" s="164"/>
      <c r="AF56" s="148"/>
      <c r="AG56" s="148"/>
      <c r="AH56" s="183"/>
    </row>
    <row r="57" spans="2:34" ht="35.1" customHeight="1" thickTop="1" thickBot="1" x14ac:dyDescent="0.25">
      <c r="B57" s="143"/>
      <c r="C57" s="143"/>
      <c r="D57" s="143"/>
      <c r="E57" s="143"/>
      <c r="F57" s="143"/>
      <c r="G57" s="143"/>
      <c r="H57" s="143"/>
      <c r="I57" s="160"/>
      <c r="J57" s="12" t="s">
        <v>25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e">
        <f t="shared" si="0"/>
        <v>#DIV/0!</v>
      </c>
      <c r="AA57" s="149"/>
      <c r="AB57" s="149"/>
      <c r="AC57" s="153"/>
      <c r="AD57" s="153"/>
      <c r="AE57" s="165"/>
      <c r="AF57" s="149"/>
      <c r="AG57" s="149"/>
      <c r="AH57" s="184"/>
    </row>
    <row r="58" spans="2:34" ht="35.1" customHeight="1" thickTop="1" thickBot="1" x14ac:dyDescent="0.25">
      <c r="B58" s="141"/>
      <c r="C58" s="141"/>
      <c r="D58" s="141"/>
      <c r="E58" s="141"/>
      <c r="F58" s="141"/>
      <c r="G58" s="141"/>
      <c r="H58" s="141"/>
      <c r="I58" s="158"/>
      <c r="J58" s="18" t="s">
        <v>30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e">
        <f t="shared" si="0"/>
        <v>#DIV/0!</v>
      </c>
      <c r="AA58" s="147" t="e">
        <f>AVERAGE(Z58,Z59,Z60,Z63)</f>
        <v>#DIV/0!</v>
      </c>
      <c r="AB58" s="150"/>
      <c r="AC58" s="151"/>
      <c r="AD58" s="151"/>
      <c r="AE58" s="163"/>
      <c r="AF58" s="150"/>
      <c r="AG58" s="150"/>
      <c r="AH58" s="182" t="e">
        <f t="shared" ref="AH58" si="9">(AC58)/AB58</f>
        <v>#DIV/0!</v>
      </c>
    </row>
    <row r="59" spans="2:34" ht="35.1" customHeight="1" thickTop="1" thickBot="1" x14ac:dyDescent="0.25">
      <c r="B59" s="142"/>
      <c r="C59" s="142"/>
      <c r="D59" s="142"/>
      <c r="E59" s="142"/>
      <c r="F59" s="142"/>
      <c r="G59" s="142"/>
      <c r="H59" s="142"/>
      <c r="I59" s="159"/>
      <c r="J59" s="18" t="s">
        <v>29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e">
        <f t="shared" si="0"/>
        <v>#DIV/0!</v>
      </c>
      <c r="AA59" s="148"/>
      <c r="AB59" s="148"/>
      <c r="AC59" s="152"/>
      <c r="AD59" s="152"/>
      <c r="AE59" s="164"/>
      <c r="AF59" s="148"/>
      <c r="AG59" s="148"/>
      <c r="AH59" s="183"/>
    </row>
    <row r="60" spans="2:34" ht="35.1" customHeight="1" thickTop="1" thickBot="1" x14ac:dyDescent="0.25">
      <c r="B60" s="142"/>
      <c r="C60" s="142"/>
      <c r="D60" s="142"/>
      <c r="E60" s="142"/>
      <c r="F60" s="142"/>
      <c r="G60" s="142"/>
      <c r="H60" s="142"/>
      <c r="I60" s="159"/>
      <c r="J60" s="18" t="s">
        <v>28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e">
        <f t="shared" si="0"/>
        <v>#DIV/0!</v>
      </c>
      <c r="AA60" s="148"/>
      <c r="AB60" s="148"/>
      <c r="AC60" s="152"/>
      <c r="AD60" s="152"/>
      <c r="AE60" s="164"/>
      <c r="AF60" s="148"/>
      <c r="AG60" s="148"/>
      <c r="AH60" s="183"/>
    </row>
    <row r="61" spans="2:34" ht="35.1" customHeight="1" thickTop="1" thickBot="1" x14ac:dyDescent="0.25">
      <c r="B61" s="142"/>
      <c r="C61" s="142"/>
      <c r="D61" s="142"/>
      <c r="E61" s="142"/>
      <c r="F61" s="142"/>
      <c r="G61" s="142"/>
      <c r="H61" s="142"/>
      <c r="I61" s="159"/>
      <c r="J61" s="18" t="s">
        <v>27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e">
        <f t="shared" si="0"/>
        <v>#DIV/0!</v>
      </c>
      <c r="AA61" s="148"/>
      <c r="AB61" s="148"/>
      <c r="AC61" s="152"/>
      <c r="AD61" s="152"/>
      <c r="AE61" s="164"/>
      <c r="AF61" s="148"/>
      <c r="AG61" s="148"/>
      <c r="AH61" s="183"/>
    </row>
    <row r="62" spans="2:34" ht="35.1" customHeight="1" thickTop="1" thickBot="1" x14ac:dyDescent="0.25">
      <c r="B62" s="142"/>
      <c r="C62" s="142"/>
      <c r="D62" s="142"/>
      <c r="E62" s="142"/>
      <c r="F62" s="142"/>
      <c r="G62" s="142"/>
      <c r="H62" s="142"/>
      <c r="I62" s="159"/>
      <c r="J62" s="18" t="s">
        <v>26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e">
        <f t="shared" si="0"/>
        <v>#DIV/0!</v>
      </c>
      <c r="AA62" s="148"/>
      <c r="AB62" s="148"/>
      <c r="AC62" s="152"/>
      <c r="AD62" s="152"/>
      <c r="AE62" s="164"/>
      <c r="AF62" s="148"/>
      <c r="AG62" s="148"/>
      <c r="AH62" s="183"/>
    </row>
    <row r="63" spans="2:34" ht="35.1" customHeight="1" thickTop="1" thickBot="1" x14ac:dyDescent="0.25">
      <c r="B63" s="143"/>
      <c r="C63" s="143"/>
      <c r="D63" s="143"/>
      <c r="E63" s="143"/>
      <c r="F63" s="143"/>
      <c r="G63" s="143"/>
      <c r="H63" s="143"/>
      <c r="I63" s="160"/>
      <c r="J63" s="12" t="s">
        <v>25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e">
        <f t="shared" si="0"/>
        <v>#DIV/0!</v>
      </c>
      <c r="AA63" s="149"/>
      <c r="AB63" s="149"/>
      <c r="AC63" s="153"/>
      <c r="AD63" s="153"/>
      <c r="AE63" s="165"/>
      <c r="AF63" s="149"/>
      <c r="AG63" s="149"/>
      <c r="AH63" s="184"/>
    </row>
    <row r="64" spans="2:34" ht="35.1" customHeight="1" thickTop="1" thickBot="1" x14ac:dyDescent="0.25">
      <c r="B64" s="141"/>
      <c r="C64" s="141"/>
      <c r="D64" s="141"/>
      <c r="E64" s="141"/>
      <c r="F64" s="141"/>
      <c r="G64" s="141"/>
      <c r="H64" s="141"/>
      <c r="I64" s="158"/>
      <c r="J64" s="18" t="s">
        <v>30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e">
        <f t="shared" si="0"/>
        <v>#DIV/0!</v>
      </c>
      <c r="AA64" s="147" t="e">
        <f>AVERAGE(Z64,Z65,Z66,Z69)</f>
        <v>#DIV/0!</v>
      </c>
      <c r="AB64" s="150"/>
      <c r="AC64" s="151"/>
      <c r="AD64" s="151"/>
      <c r="AE64" s="163"/>
      <c r="AF64" s="150"/>
      <c r="AG64" s="150"/>
      <c r="AH64" s="182" t="e">
        <f t="shared" ref="AH64" si="10">(AC64)/AB64</f>
        <v>#DIV/0!</v>
      </c>
    </row>
    <row r="65" spans="2:34" ht="35.1" customHeight="1" thickTop="1" thickBot="1" x14ac:dyDescent="0.25">
      <c r="B65" s="142"/>
      <c r="C65" s="142"/>
      <c r="D65" s="142"/>
      <c r="E65" s="142"/>
      <c r="F65" s="142"/>
      <c r="G65" s="142"/>
      <c r="H65" s="142"/>
      <c r="I65" s="159"/>
      <c r="J65" s="18" t="s">
        <v>29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e">
        <f t="shared" si="0"/>
        <v>#DIV/0!</v>
      </c>
      <c r="AA65" s="148"/>
      <c r="AB65" s="148"/>
      <c r="AC65" s="152"/>
      <c r="AD65" s="152"/>
      <c r="AE65" s="164"/>
      <c r="AF65" s="148"/>
      <c r="AG65" s="148"/>
      <c r="AH65" s="183"/>
    </row>
    <row r="66" spans="2:34" ht="35.1" customHeight="1" thickTop="1" thickBot="1" x14ac:dyDescent="0.25">
      <c r="B66" s="142"/>
      <c r="C66" s="142"/>
      <c r="D66" s="142"/>
      <c r="E66" s="142"/>
      <c r="F66" s="142"/>
      <c r="G66" s="142"/>
      <c r="H66" s="142"/>
      <c r="I66" s="159"/>
      <c r="J66" s="18" t="s">
        <v>28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e">
        <f t="shared" si="0"/>
        <v>#DIV/0!</v>
      </c>
      <c r="AA66" s="148"/>
      <c r="AB66" s="148"/>
      <c r="AC66" s="152"/>
      <c r="AD66" s="152"/>
      <c r="AE66" s="164"/>
      <c r="AF66" s="148"/>
      <c r="AG66" s="148"/>
      <c r="AH66" s="183"/>
    </row>
    <row r="67" spans="2:34" ht="35.1" customHeight="1" thickTop="1" thickBot="1" x14ac:dyDescent="0.25">
      <c r="B67" s="142"/>
      <c r="C67" s="142"/>
      <c r="D67" s="142"/>
      <c r="E67" s="142"/>
      <c r="F67" s="142"/>
      <c r="G67" s="142"/>
      <c r="H67" s="142"/>
      <c r="I67" s="159"/>
      <c r="J67" s="18" t="s">
        <v>27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e">
        <f t="shared" si="0"/>
        <v>#DIV/0!</v>
      </c>
      <c r="AA67" s="148"/>
      <c r="AB67" s="148"/>
      <c r="AC67" s="152"/>
      <c r="AD67" s="152"/>
      <c r="AE67" s="164"/>
      <c r="AF67" s="148"/>
      <c r="AG67" s="148"/>
      <c r="AH67" s="183"/>
    </row>
    <row r="68" spans="2:34" ht="35.1" customHeight="1" thickTop="1" thickBot="1" x14ac:dyDescent="0.25">
      <c r="B68" s="142"/>
      <c r="C68" s="142"/>
      <c r="D68" s="142"/>
      <c r="E68" s="142"/>
      <c r="F68" s="142"/>
      <c r="G68" s="142"/>
      <c r="H68" s="142"/>
      <c r="I68" s="159"/>
      <c r="J68" s="18" t="s">
        <v>26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e">
        <f t="shared" ref="Z68:Z131" si="11">(L68)/K68</f>
        <v>#DIV/0!</v>
      </c>
      <c r="AA68" s="148"/>
      <c r="AB68" s="148"/>
      <c r="AC68" s="152"/>
      <c r="AD68" s="152"/>
      <c r="AE68" s="164"/>
      <c r="AF68" s="148"/>
      <c r="AG68" s="148"/>
      <c r="AH68" s="183"/>
    </row>
    <row r="69" spans="2:34" ht="35.1" customHeight="1" thickTop="1" thickBot="1" x14ac:dyDescent="0.25">
      <c r="B69" s="143"/>
      <c r="C69" s="143"/>
      <c r="D69" s="143"/>
      <c r="E69" s="143"/>
      <c r="F69" s="143"/>
      <c r="G69" s="143"/>
      <c r="H69" s="143"/>
      <c r="I69" s="160"/>
      <c r="J69" s="12" t="s">
        <v>25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e">
        <f t="shared" si="11"/>
        <v>#DIV/0!</v>
      </c>
      <c r="AA69" s="149"/>
      <c r="AB69" s="149"/>
      <c r="AC69" s="153"/>
      <c r="AD69" s="153"/>
      <c r="AE69" s="165"/>
      <c r="AF69" s="149"/>
      <c r="AG69" s="149"/>
      <c r="AH69" s="184"/>
    </row>
    <row r="70" spans="2:34" ht="35.1" customHeight="1" thickTop="1" thickBot="1" x14ac:dyDescent="0.25">
      <c r="B70" s="141"/>
      <c r="C70" s="141"/>
      <c r="D70" s="141"/>
      <c r="E70" s="141"/>
      <c r="F70" s="141"/>
      <c r="G70" s="141"/>
      <c r="H70" s="141"/>
      <c r="I70" s="158"/>
      <c r="J70" s="18" t="s">
        <v>30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e">
        <f t="shared" si="11"/>
        <v>#DIV/0!</v>
      </c>
      <c r="AA70" s="147" t="e">
        <f>AVERAGE(Z70,Z71,Z72,Z75)</f>
        <v>#DIV/0!</v>
      </c>
      <c r="AB70" s="150"/>
      <c r="AC70" s="151"/>
      <c r="AD70" s="151"/>
      <c r="AE70" s="163"/>
      <c r="AF70" s="150"/>
      <c r="AG70" s="150"/>
      <c r="AH70" s="182" t="e">
        <f t="shared" ref="AH70" si="12">(AC70)/AB70</f>
        <v>#DIV/0!</v>
      </c>
    </row>
    <row r="71" spans="2:34" ht="35.1" customHeight="1" thickTop="1" thickBot="1" x14ac:dyDescent="0.25">
      <c r="B71" s="142"/>
      <c r="C71" s="142"/>
      <c r="D71" s="142"/>
      <c r="E71" s="142"/>
      <c r="F71" s="142"/>
      <c r="G71" s="142"/>
      <c r="H71" s="142"/>
      <c r="I71" s="159"/>
      <c r="J71" s="18" t="s">
        <v>29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e">
        <f t="shared" si="11"/>
        <v>#DIV/0!</v>
      </c>
      <c r="AA71" s="148"/>
      <c r="AB71" s="148"/>
      <c r="AC71" s="152"/>
      <c r="AD71" s="152"/>
      <c r="AE71" s="164"/>
      <c r="AF71" s="148"/>
      <c r="AG71" s="148"/>
      <c r="AH71" s="183"/>
    </row>
    <row r="72" spans="2:34" ht="35.1" customHeight="1" thickTop="1" thickBot="1" x14ac:dyDescent="0.25">
      <c r="B72" s="142"/>
      <c r="C72" s="142"/>
      <c r="D72" s="142"/>
      <c r="E72" s="142"/>
      <c r="F72" s="142"/>
      <c r="G72" s="142"/>
      <c r="H72" s="142"/>
      <c r="I72" s="159"/>
      <c r="J72" s="18" t="s">
        <v>28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e">
        <f t="shared" si="11"/>
        <v>#DIV/0!</v>
      </c>
      <c r="AA72" s="148"/>
      <c r="AB72" s="148"/>
      <c r="AC72" s="152"/>
      <c r="AD72" s="152"/>
      <c r="AE72" s="164"/>
      <c r="AF72" s="148"/>
      <c r="AG72" s="148"/>
      <c r="AH72" s="183"/>
    </row>
    <row r="73" spans="2:34" ht="35.1" customHeight="1" thickTop="1" thickBot="1" x14ac:dyDescent="0.25">
      <c r="B73" s="142"/>
      <c r="C73" s="142"/>
      <c r="D73" s="142"/>
      <c r="E73" s="142"/>
      <c r="F73" s="142"/>
      <c r="G73" s="142"/>
      <c r="H73" s="142"/>
      <c r="I73" s="159"/>
      <c r="J73" s="18" t="s">
        <v>27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e">
        <f t="shared" si="11"/>
        <v>#DIV/0!</v>
      </c>
      <c r="AA73" s="148"/>
      <c r="AB73" s="148"/>
      <c r="AC73" s="152"/>
      <c r="AD73" s="152"/>
      <c r="AE73" s="164"/>
      <c r="AF73" s="148"/>
      <c r="AG73" s="148"/>
      <c r="AH73" s="183"/>
    </row>
    <row r="74" spans="2:34" ht="35.1" customHeight="1" thickTop="1" thickBot="1" x14ac:dyDescent="0.25">
      <c r="B74" s="142"/>
      <c r="C74" s="142"/>
      <c r="D74" s="142"/>
      <c r="E74" s="142"/>
      <c r="F74" s="142"/>
      <c r="G74" s="142"/>
      <c r="H74" s="142"/>
      <c r="I74" s="159"/>
      <c r="J74" s="18" t="s">
        <v>26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e">
        <f t="shared" si="11"/>
        <v>#DIV/0!</v>
      </c>
      <c r="AA74" s="148"/>
      <c r="AB74" s="148"/>
      <c r="AC74" s="152"/>
      <c r="AD74" s="152"/>
      <c r="AE74" s="164"/>
      <c r="AF74" s="148"/>
      <c r="AG74" s="148"/>
      <c r="AH74" s="183"/>
    </row>
    <row r="75" spans="2:34" ht="35.1" customHeight="1" thickTop="1" thickBot="1" x14ac:dyDescent="0.25">
      <c r="B75" s="143"/>
      <c r="C75" s="143"/>
      <c r="D75" s="143"/>
      <c r="E75" s="143"/>
      <c r="F75" s="143"/>
      <c r="G75" s="143"/>
      <c r="H75" s="143"/>
      <c r="I75" s="160"/>
      <c r="J75" s="12" t="s">
        <v>25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e">
        <f t="shared" si="11"/>
        <v>#DIV/0!</v>
      </c>
      <c r="AA75" s="149"/>
      <c r="AB75" s="149"/>
      <c r="AC75" s="153"/>
      <c r="AD75" s="153"/>
      <c r="AE75" s="165"/>
      <c r="AF75" s="149"/>
      <c r="AG75" s="149"/>
      <c r="AH75" s="184"/>
    </row>
    <row r="76" spans="2:34" ht="35.1" customHeight="1" thickTop="1" thickBot="1" x14ac:dyDescent="0.25">
      <c r="B76" s="141"/>
      <c r="C76" s="141"/>
      <c r="D76" s="141"/>
      <c r="E76" s="141"/>
      <c r="F76" s="141"/>
      <c r="G76" s="141"/>
      <c r="H76" s="141"/>
      <c r="I76" s="158"/>
      <c r="J76" s="18" t="s">
        <v>30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e">
        <f t="shared" si="11"/>
        <v>#DIV/0!</v>
      </c>
      <c r="AA76" s="147" t="e">
        <f>AVERAGE(Z76,Z77,Z78,Z81)</f>
        <v>#DIV/0!</v>
      </c>
      <c r="AB76" s="150"/>
      <c r="AC76" s="151"/>
      <c r="AD76" s="151"/>
      <c r="AE76" s="163"/>
      <c r="AF76" s="150"/>
      <c r="AG76" s="150"/>
      <c r="AH76" s="182" t="e">
        <f t="shared" ref="AH76" si="13">(AC76)/AB76</f>
        <v>#DIV/0!</v>
      </c>
    </row>
    <row r="77" spans="2:34" ht="35.1" customHeight="1" thickTop="1" thickBot="1" x14ac:dyDescent="0.25">
      <c r="B77" s="142"/>
      <c r="C77" s="142"/>
      <c r="D77" s="142"/>
      <c r="E77" s="142"/>
      <c r="F77" s="142"/>
      <c r="G77" s="142"/>
      <c r="H77" s="142"/>
      <c r="I77" s="159"/>
      <c r="J77" s="18" t="s">
        <v>29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e">
        <f t="shared" si="11"/>
        <v>#DIV/0!</v>
      </c>
      <c r="AA77" s="148"/>
      <c r="AB77" s="148"/>
      <c r="AC77" s="152"/>
      <c r="AD77" s="152"/>
      <c r="AE77" s="164"/>
      <c r="AF77" s="148"/>
      <c r="AG77" s="148"/>
      <c r="AH77" s="183"/>
    </row>
    <row r="78" spans="2:34" ht="35.1" customHeight="1" thickTop="1" thickBot="1" x14ac:dyDescent="0.25">
      <c r="B78" s="142"/>
      <c r="C78" s="142"/>
      <c r="D78" s="142"/>
      <c r="E78" s="142"/>
      <c r="F78" s="142"/>
      <c r="G78" s="142"/>
      <c r="H78" s="142"/>
      <c r="I78" s="159"/>
      <c r="J78" s="18" t="s">
        <v>28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e">
        <f t="shared" si="11"/>
        <v>#DIV/0!</v>
      </c>
      <c r="AA78" s="148"/>
      <c r="AB78" s="148"/>
      <c r="AC78" s="152"/>
      <c r="AD78" s="152"/>
      <c r="AE78" s="164"/>
      <c r="AF78" s="148"/>
      <c r="AG78" s="148"/>
      <c r="AH78" s="183"/>
    </row>
    <row r="79" spans="2:34" ht="35.1" customHeight="1" thickTop="1" thickBot="1" x14ac:dyDescent="0.25">
      <c r="B79" s="142"/>
      <c r="C79" s="142"/>
      <c r="D79" s="142"/>
      <c r="E79" s="142"/>
      <c r="F79" s="142"/>
      <c r="G79" s="142"/>
      <c r="H79" s="142"/>
      <c r="I79" s="159"/>
      <c r="J79" s="18" t="s">
        <v>27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e">
        <f t="shared" si="11"/>
        <v>#DIV/0!</v>
      </c>
      <c r="AA79" s="148"/>
      <c r="AB79" s="148"/>
      <c r="AC79" s="152"/>
      <c r="AD79" s="152"/>
      <c r="AE79" s="164"/>
      <c r="AF79" s="148"/>
      <c r="AG79" s="148"/>
      <c r="AH79" s="183"/>
    </row>
    <row r="80" spans="2:34" ht="35.1" customHeight="1" thickTop="1" thickBot="1" x14ac:dyDescent="0.25">
      <c r="B80" s="142"/>
      <c r="C80" s="142"/>
      <c r="D80" s="142"/>
      <c r="E80" s="142"/>
      <c r="F80" s="142"/>
      <c r="G80" s="142"/>
      <c r="H80" s="142"/>
      <c r="I80" s="159"/>
      <c r="J80" s="18" t="s">
        <v>26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e">
        <f t="shared" si="11"/>
        <v>#DIV/0!</v>
      </c>
      <c r="AA80" s="148"/>
      <c r="AB80" s="148"/>
      <c r="AC80" s="152"/>
      <c r="AD80" s="152"/>
      <c r="AE80" s="164"/>
      <c r="AF80" s="148"/>
      <c r="AG80" s="148"/>
      <c r="AH80" s="183"/>
    </row>
    <row r="81" spans="2:34" ht="35.1" customHeight="1" thickTop="1" thickBot="1" x14ac:dyDescent="0.25">
      <c r="B81" s="143"/>
      <c r="C81" s="143"/>
      <c r="D81" s="143"/>
      <c r="E81" s="143"/>
      <c r="F81" s="143"/>
      <c r="G81" s="143"/>
      <c r="H81" s="143"/>
      <c r="I81" s="160"/>
      <c r="J81" s="12" t="s">
        <v>25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e">
        <f t="shared" si="11"/>
        <v>#DIV/0!</v>
      </c>
      <c r="AA81" s="149"/>
      <c r="AB81" s="149"/>
      <c r="AC81" s="153"/>
      <c r="AD81" s="153"/>
      <c r="AE81" s="165"/>
      <c r="AF81" s="149"/>
      <c r="AG81" s="149"/>
      <c r="AH81" s="184"/>
    </row>
    <row r="82" spans="2:34" ht="35.1" customHeight="1" thickTop="1" thickBot="1" x14ac:dyDescent="0.25">
      <c r="B82" s="141"/>
      <c r="C82" s="141"/>
      <c r="D82" s="141"/>
      <c r="E82" s="141"/>
      <c r="F82" s="141"/>
      <c r="G82" s="141"/>
      <c r="H82" s="141"/>
      <c r="I82" s="158"/>
      <c r="J82" s="18" t="s">
        <v>30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e">
        <f t="shared" si="11"/>
        <v>#DIV/0!</v>
      </c>
      <c r="AA82" s="147" t="e">
        <f>AVERAGE(Z82,Z83,Z84,Z87)</f>
        <v>#DIV/0!</v>
      </c>
      <c r="AB82" s="150"/>
      <c r="AC82" s="151"/>
      <c r="AD82" s="151"/>
      <c r="AE82" s="163"/>
      <c r="AF82" s="150"/>
      <c r="AG82" s="150"/>
      <c r="AH82" s="182" t="e">
        <f t="shared" ref="AH82" si="14">(AC82)/AB82</f>
        <v>#DIV/0!</v>
      </c>
    </row>
    <row r="83" spans="2:34" ht="35.1" customHeight="1" thickTop="1" thickBot="1" x14ac:dyDescent="0.25">
      <c r="B83" s="142"/>
      <c r="C83" s="142"/>
      <c r="D83" s="142"/>
      <c r="E83" s="142"/>
      <c r="F83" s="142"/>
      <c r="G83" s="142"/>
      <c r="H83" s="142"/>
      <c r="I83" s="159"/>
      <c r="J83" s="18" t="s">
        <v>29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e">
        <f t="shared" si="11"/>
        <v>#DIV/0!</v>
      </c>
      <c r="AA83" s="148"/>
      <c r="AB83" s="148"/>
      <c r="AC83" s="152"/>
      <c r="AD83" s="152"/>
      <c r="AE83" s="164"/>
      <c r="AF83" s="148"/>
      <c r="AG83" s="148"/>
      <c r="AH83" s="183"/>
    </row>
    <row r="84" spans="2:34" ht="35.1" customHeight="1" thickTop="1" thickBot="1" x14ac:dyDescent="0.25">
      <c r="B84" s="142"/>
      <c r="C84" s="142"/>
      <c r="D84" s="142"/>
      <c r="E84" s="142"/>
      <c r="F84" s="142"/>
      <c r="G84" s="142"/>
      <c r="H84" s="142"/>
      <c r="I84" s="159"/>
      <c r="J84" s="18" t="s">
        <v>28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e">
        <f t="shared" si="11"/>
        <v>#DIV/0!</v>
      </c>
      <c r="AA84" s="148"/>
      <c r="AB84" s="148"/>
      <c r="AC84" s="152"/>
      <c r="AD84" s="152"/>
      <c r="AE84" s="164"/>
      <c r="AF84" s="148"/>
      <c r="AG84" s="148"/>
      <c r="AH84" s="183"/>
    </row>
    <row r="85" spans="2:34" ht="35.1" customHeight="1" thickTop="1" thickBot="1" x14ac:dyDescent="0.25">
      <c r="B85" s="142"/>
      <c r="C85" s="142"/>
      <c r="D85" s="142"/>
      <c r="E85" s="142"/>
      <c r="F85" s="142"/>
      <c r="G85" s="142"/>
      <c r="H85" s="142"/>
      <c r="I85" s="159"/>
      <c r="J85" s="18" t="s">
        <v>27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e">
        <f t="shared" si="11"/>
        <v>#DIV/0!</v>
      </c>
      <c r="AA85" s="148"/>
      <c r="AB85" s="148"/>
      <c r="AC85" s="152"/>
      <c r="AD85" s="152"/>
      <c r="AE85" s="164"/>
      <c r="AF85" s="148"/>
      <c r="AG85" s="148"/>
      <c r="AH85" s="183"/>
    </row>
    <row r="86" spans="2:34" ht="35.1" customHeight="1" thickTop="1" thickBot="1" x14ac:dyDescent="0.25">
      <c r="B86" s="142"/>
      <c r="C86" s="142"/>
      <c r="D86" s="142"/>
      <c r="E86" s="142"/>
      <c r="F86" s="142"/>
      <c r="G86" s="142"/>
      <c r="H86" s="142"/>
      <c r="I86" s="159"/>
      <c r="J86" s="18" t="s">
        <v>26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e">
        <f t="shared" si="11"/>
        <v>#DIV/0!</v>
      </c>
      <c r="AA86" s="148"/>
      <c r="AB86" s="148"/>
      <c r="AC86" s="152"/>
      <c r="AD86" s="152"/>
      <c r="AE86" s="164"/>
      <c r="AF86" s="148"/>
      <c r="AG86" s="148"/>
      <c r="AH86" s="183"/>
    </row>
    <row r="87" spans="2:34" ht="35.1" customHeight="1" thickTop="1" thickBot="1" x14ac:dyDescent="0.25">
      <c r="B87" s="143"/>
      <c r="C87" s="143"/>
      <c r="D87" s="143"/>
      <c r="E87" s="143"/>
      <c r="F87" s="143"/>
      <c r="G87" s="143"/>
      <c r="H87" s="143"/>
      <c r="I87" s="160"/>
      <c r="J87" s="12" t="s">
        <v>25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e">
        <f t="shared" si="11"/>
        <v>#DIV/0!</v>
      </c>
      <c r="AA87" s="149"/>
      <c r="AB87" s="149"/>
      <c r="AC87" s="153"/>
      <c r="AD87" s="153"/>
      <c r="AE87" s="165"/>
      <c r="AF87" s="149"/>
      <c r="AG87" s="149"/>
      <c r="AH87" s="184"/>
    </row>
    <row r="88" spans="2:34" ht="35.1" customHeight="1" thickTop="1" thickBot="1" x14ac:dyDescent="0.25">
      <c r="B88" s="141"/>
      <c r="C88" s="141"/>
      <c r="D88" s="141"/>
      <c r="E88" s="141"/>
      <c r="F88" s="141"/>
      <c r="G88" s="141"/>
      <c r="H88" s="141"/>
      <c r="I88" s="158"/>
      <c r="J88" s="18" t="s">
        <v>30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e">
        <f t="shared" si="11"/>
        <v>#DIV/0!</v>
      </c>
      <c r="AA88" s="147" t="e">
        <f>AVERAGE(Z88,Z89,Z90,Z93)</f>
        <v>#DIV/0!</v>
      </c>
      <c r="AB88" s="150"/>
      <c r="AC88" s="151"/>
      <c r="AD88" s="151"/>
      <c r="AE88" s="163"/>
      <c r="AF88" s="150"/>
      <c r="AG88" s="150"/>
      <c r="AH88" s="182" t="e">
        <f t="shared" ref="AH88" si="15">(AC88)/AB88</f>
        <v>#DIV/0!</v>
      </c>
    </row>
    <row r="89" spans="2:34" ht="35.1" customHeight="1" thickTop="1" thickBot="1" x14ac:dyDescent="0.25">
      <c r="B89" s="142"/>
      <c r="C89" s="142"/>
      <c r="D89" s="142"/>
      <c r="E89" s="142"/>
      <c r="F89" s="142"/>
      <c r="G89" s="142"/>
      <c r="H89" s="142"/>
      <c r="I89" s="159"/>
      <c r="J89" s="18" t="s">
        <v>29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e">
        <f t="shared" si="11"/>
        <v>#DIV/0!</v>
      </c>
      <c r="AA89" s="148"/>
      <c r="AB89" s="148"/>
      <c r="AC89" s="152"/>
      <c r="AD89" s="152"/>
      <c r="AE89" s="164"/>
      <c r="AF89" s="148"/>
      <c r="AG89" s="148"/>
      <c r="AH89" s="183"/>
    </row>
    <row r="90" spans="2:34" ht="35.1" customHeight="1" thickTop="1" thickBot="1" x14ac:dyDescent="0.25">
      <c r="B90" s="142"/>
      <c r="C90" s="142"/>
      <c r="D90" s="142"/>
      <c r="E90" s="142"/>
      <c r="F90" s="142"/>
      <c r="G90" s="142"/>
      <c r="H90" s="142"/>
      <c r="I90" s="159"/>
      <c r="J90" s="18" t="s">
        <v>28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e">
        <f t="shared" si="11"/>
        <v>#DIV/0!</v>
      </c>
      <c r="AA90" s="148"/>
      <c r="AB90" s="148"/>
      <c r="AC90" s="152"/>
      <c r="AD90" s="152"/>
      <c r="AE90" s="164"/>
      <c r="AF90" s="148"/>
      <c r="AG90" s="148"/>
      <c r="AH90" s="183"/>
    </row>
    <row r="91" spans="2:34" ht="35.1" customHeight="1" thickTop="1" thickBot="1" x14ac:dyDescent="0.25">
      <c r="B91" s="142"/>
      <c r="C91" s="142"/>
      <c r="D91" s="142"/>
      <c r="E91" s="142"/>
      <c r="F91" s="142"/>
      <c r="G91" s="142"/>
      <c r="H91" s="142"/>
      <c r="I91" s="159"/>
      <c r="J91" s="18" t="s">
        <v>27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e">
        <f t="shared" si="11"/>
        <v>#DIV/0!</v>
      </c>
      <c r="AA91" s="148"/>
      <c r="AB91" s="148"/>
      <c r="AC91" s="152"/>
      <c r="AD91" s="152"/>
      <c r="AE91" s="164"/>
      <c r="AF91" s="148"/>
      <c r="AG91" s="148"/>
      <c r="AH91" s="183"/>
    </row>
    <row r="92" spans="2:34" ht="35.1" customHeight="1" thickTop="1" thickBot="1" x14ac:dyDescent="0.25">
      <c r="B92" s="142"/>
      <c r="C92" s="142"/>
      <c r="D92" s="142"/>
      <c r="E92" s="142"/>
      <c r="F92" s="142"/>
      <c r="G92" s="142"/>
      <c r="H92" s="142"/>
      <c r="I92" s="159"/>
      <c r="J92" s="18" t="s">
        <v>26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e">
        <f t="shared" si="11"/>
        <v>#DIV/0!</v>
      </c>
      <c r="AA92" s="148"/>
      <c r="AB92" s="148"/>
      <c r="AC92" s="152"/>
      <c r="AD92" s="152"/>
      <c r="AE92" s="164"/>
      <c r="AF92" s="148"/>
      <c r="AG92" s="148"/>
      <c r="AH92" s="183"/>
    </row>
    <row r="93" spans="2:34" ht="35.1" customHeight="1" thickTop="1" thickBot="1" x14ac:dyDescent="0.25">
      <c r="B93" s="143"/>
      <c r="C93" s="143"/>
      <c r="D93" s="143"/>
      <c r="E93" s="143"/>
      <c r="F93" s="143"/>
      <c r="G93" s="143"/>
      <c r="H93" s="143"/>
      <c r="I93" s="160"/>
      <c r="J93" s="12" t="s">
        <v>25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e">
        <f t="shared" si="11"/>
        <v>#DIV/0!</v>
      </c>
      <c r="AA93" s="149"/>
      <c r="AB93" s="149"/>
      <c r="AC93" s="153"/>
      <c r="AD93" s="153"/>
      <c r="AE93" s="165"/>
      <c r="AF93" s="149"/>
      <c r="AG93" s="149"/>
      <c r="AH93" s="184"/>
    </row>
    <row r="94" spans="2:34" ht="35.1" customHeight="1" thickTop="1" thickBot="1" x14ac:dyDescent="0.25">
      <c r="B94" s="141"/>
      <c r="C94" s="141"/>
      <c r="D94" s="141"/>
      <c r="E94" s="141"/>
      <c r="F94" s="141"/>
      <c r="G94" s="141"/>
      <c r="H94" s="141"/>
      <c r="I94" s="158"/>
      <c r="J94" s="18" t="s">
        <v>30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e">
        <f t="shared" si="11"/>
        <v>#DIV/0!</v>
      </c>
      <c r="AA94" s="147" t="e">
        <f>AVERAGE(Z94,Z95,Z96,Z99)</f>
        <v>#DIV/0!</v>
      </c>
      <c r="AB94" s="150"/>
      <c r="AC94" s="151"/>
      <c r="AD94" s="151"/>
      <c r="AE94" s="163"/>
      <c r="AF94" s="150"/>
      <c r="AG94" s="150"/>
      <c r="AH94" s="182" t="e">
        <f t="shared" ref="AH94" si="16">(AC94)/AB94</f>
        <v>#DIV/0!</v>
      </c>
    </row>
    <row r="95" spans="2:34" ht="35.1" customHeight="1" thickTop="1" thickBot="1" x14ac:dyDescent="0.25">
      <c r="B95" s="142"/>
      <c r="C95" s="142"/>
      <c r="D95" s="142"/>
      <c r="E95" s="142"/>
      <c r="F95" s="142"/>
      <c r="G95" s="142"/>
      <c r="H95" s="142"/>
      <c r="I95" s="159"/>
      <c r="J95" s="18" t="s">
        <v>29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e">
        <f t="shared" si="11"/>
        <v>#DIV/0!</v>
      </c>
      <c r="AA95" s="148"/>
      <c r="AB95" s="148"/>
      <c r="AC95" s="152"/>
      <c r="AD95" s="152"/>
      <c r="AE95" s="164"/>
      <c r="AF95" s="148"/>
      <c r="AG95" s="148"/>
      <c r="AH95" s="183"/>
    </row>
    <row r="96" spans="2:34" ht="35.1" customHeight="1" thickTop="1" thickBot="1" x14ac:dyDescent="0.25">
      <c r="B96" s="142"/>
      <c r="C96" s="142"/>
      <c r="D96" s="142"/>
      <c r="E96" s="142"/>
      <c r="F96" s="142"/>
      <c r="G96" s="142"/>
      <c r="H96" s="142"/>
      <c r="I96" s="159"/>
      <c r="J96" s="18" t="s">
        <v>28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e">
        <f t="shared" si="11"/>
        <v>#DIV/0!</v>
      </c>
      <c r="AA96" s="148"/>
      <c r="AB96" s="148"/>
      <c r="AC96" s="152"/>
      <c r="AD96" s="152"/>
      <c r="AE96" s="164"/>
      <c r="AF96" s="148"/>
      <c r="AG96" s="148"/>
      <c r="AH96" s="183"/>
    </row>
    <row r="97" spans="2:34" ht="35.1" customHeight="1" thickTop="1" thickBot="1" x14ac:dyDescent="0.25">
      <c r="B97" s="142"/>
      <c r="C97" s="142"/>
      <c r="D97" s="142"/>
      <c r="E97" s="142"/>
      <c r="F97" s="142"/>
      <c r="G97" s="142"/>
      <c r="H97" s="142"/>
      <c r="I97" s="159"/>
      <c r="J97" s="18" t="s">
        <v>27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e">
        <f t="shared" si="11"/>
        <v>#DIV/0!</v>
      </c>
      <c r="AA97" s="148"/>
      <c r="AB97" s="148"/>
      <c r="AC97" s="152"/>
      <c r="AD97" s="152"/>
      <c r="AE97" s="164"/>
      <c r="AF97" s="148"/>
      <c r="AG97" s="148"/>
      <c r="AH97" s="183"/>
    </row>
    <row r="98" spans="2:34" ht="35.1" customHeight="1" thickTop="1" thickBot="1" x14ac:dyDescent="0.25">
      <c r="B98" s="142"/>
      <c r="C98" s="142"/>
      <c r="D98" s="142"/>
      <c r="E98" s="142"/>
      <c r="F98" s="142"/>
      <c r="G98" s="142"/>
      <c r="H98" s="142"/>
      <c r="I98" s="159"/>
      <c r="J98" s="18" t="s">
        <v>26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e">
        <f t="shared" si="11"/>
        <v>#DIV/0!</v>
      </c>
      <c r="AA98" s="148"/>
      <c r="AB98" s="148"/>
      <c r="AC98" s="152"/>
      <c r="AD98" s="152"/>
      <c r="AE98" s="164"/>
      <c r="AF98" s="148"/>
      <c r="AG98" s="148"/>
      <c r="AH98" s="183"/>
    </row>
    <row r="99" spans="2:34" ht="35.1" customHeight="1" thickTop="1" thickBot="1" x14ac:dyDescent="0.25">
      <c r="B99" s="143"/>
      <c r="C99" s="143"/>
      <c r="D99" s="143"/>
      <c r="E99" s="143"/>
      <c r="F99" s="143"/>
      <c r="G99" s="143"/>
      <c r="H99" s="143"/>
      <c r="I99" s="160"/>
      <c r="J99" s="12" t="s">
        <v>25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e">
        <f t="shared" si="11"/>
        <v>#DIV/0!</v>
      </c>
      <c r="AA99" s="149"/>
      <c r="AB99" s="149"/>
      <c r="AC99" s="153"/>
      <c r="AD99" s="153"/>
      <c r="AE99" s="165"/>
      <c r="AF99" s="149"/>
      <c r="AG99" s="149"/>
      <c r="AH99" s="184"/>
    </row>
    <row r="100" spans="2:34" ht="35.1" customHeight="1" thickTop="1" thickBot="1" x14ac:dyDescent="0.25">
      <c r="B100" s="141"/>
      <c r="C100" s="141"/>
      <c r="D100" s="141"/>
      <c r="E100" s="141"/>
      <c r="F100" s="141"/>
      <c r="G100" s="141"/>
      <c r="H100" s="141"/>
      <c r="I100" s="158"/>
      <c r="J100" s="18" t="s">
        <v>30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e">
        <f t="shared" si="11"/>
        <v>#DIV/0!</v>
      </c>
      <c r="AA100" s="147" t="e">
        <f>AVERAGE(Z100,Z101,Z102,Z105)</f>
        <v>#DIV/0!</v>
      </c>
      <c r="AB100" s="150"/>
      <c r="AC100" s="151"/>
      <c r="AD100" s="151"/>
      <c r="AE100" s="163"/>
      <c r="AF100" s="150"/>
      <c r="AG100" s="150"/>
      <c r="AH100" s="182" t="e">
        <f t="shared" ref="AH100" si="17">(AC100)/AB100</f>
        <v>#DIV/0!</v>
      </c>
    </row>
    <row r="101" spans="2:34" ht="35.1" customHeight="1" thickTop="1" thickBot="1" x14ac:dyDescent="0.25">
      <c r="B101" s="142"/>
      <c r="C101" s="142"/>
      <c r="D101" s="142"/>
      <c r="E101" s="142"/>
      <c r="F101" s="142"/>
      <c r="G101" s="142"/>
      <c r="H101" s="142"/>
      <c r="I101" s="159"/>
      <c r="J101" s="18" t="s">
        <v>29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e">
        <f t="shared" si="11"/>
        <v>#DIV/0!</v>
      </c>
      <c r="AA101" s="148"/>
      <c r="AB101" s="148"/>
      <c r="AC101" s="152"/>
      <c r="AD101" s="152"/>
      <c r="AE101" s="164"/>
      <c r="AF101" s="148"/>
      <c r="AG101" s="148"/>
      <c r="AH101" s="183"/>
    </row>
    <row r="102" spans="2:34" ht="35.1" customHeight="1" thickTop="1" thickBot="1" x14ac:dyDescent="0.25">
      <c r="B102" s="142"/>
      <c r="C102" s="142"/>
      <c r="D102" s="142"/>
      <c r="E102" s="142"/>
      <c r="F102" s="142"/>
      <c r="G102" s="142"/>
      <c r="H102" s="142"/>
      <c r="I102" s="159"/>
      <c r="J102" s="18" t="s">
        <v>28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e">
        <f t="shared" si="11"/>
        <v>#DIV/0!</v>
      </c>
      <c r="AA102" s="148"/>
      <c r="AB102" s="148"/>
      <c r="AC102" s="152"/>
      <c r="AD102" s="152"/>
      <c r="AE102" s="164"/>
      <c r="AF102" s="148"/>
      <c r="AG102" s="148"/>
      <c r="AH102" s="183"/>
    </row>
    <row r="103" spans="2:34" ht="35.1" customHeight="1" thickTop="1" thickBot="1" x14ac:dyDescent="0.25">
      <c r="B103" s="142"/>
      <c r="C103" s="142"/>
      <c r="D103" s="142"/>
      <c r="E103" s="142"/>
      <c r="F103" s="142"/>
      <c r="G103" s="142"/>
      <c r="H103" s="142"/>
      <c r="I103" s="159"/>
      <c r="J103" s="18" t="s">
        <v>27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e">
        <f t="shared" si="11"/>
        <v>#DIV/0!</v>
      </c>
      <c r="AA103" s="148"/>
      <c r="AB103" s="148"/>
      <c r="AC103" s="152"/>
      <c r="AD103" s="152"/>
      <c r="AE103" s="164"/>
      <c r="AF103" s="148"/>
      <c r="AG103" s="148"/>
      <c r="AH103" s="183"/>
    </row>
    <row r="104" spans="2:34" ht="35.1" customHeight="1" thickTop="1" thickBot="1" x14ac:dyDescent="0.25">
      <c r="B104" s="142"/>
      <c r="C104" s="142"/>
      <c r="D104" s="142"/>
      <c r="E104" s="142"/>
      <c r="F104" s="142"/>
      <c r="G104" s="142"/>
      <c r="H104" s="142"/>
      <c r="I104" s="159"/>
      <c r="J104" s="18" t="s">
        <v>26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e">
        <f t="shared" si="11"/>
        <v>#DIV/0!</v>
      </c>
      <c r="AA104" s="148"/>
      <c r="AB104" s="148"/>
      <c r="AC104" s="152"/>
      <c r="AD104" s="152"/>
      <c r="AE104" s="164"/>
      <c r="AF104" s="148"/>
      <c r="AG104" s="148"/>
      <c r="AH104" s="183"/>
    </row>
    <row r="105" spans="2:34" ht="35.1" customHeight="1" thickTop="1" thickBot="1" x14ac:dyDescent="0.25">
      <c r="B105" s="143"/>
      <c r="C105" s="143"/>
      <c r="D105" s="143"/>
      <c r="E105" s="143"/>
      <c r="F105" s="143"/>
      <c r="G105" s="143"/>
      <c r="H105" s="143"/>
      <c r="I105" s="160"/>
      <c r="J105" s="12" t="s">
        <v>25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e">
        <f t="shared" si="11"/>
        <v>#DIV/0!</v>
      </c>
      <c r="AA105" s="149"/>
      <c r="AB105" s="149"/>
      <c r="AC105" s="153"/>
      <c r="AD105" s="153"/>
      <c r="AE105" s="165"/>
      <c r="AF105" s="149"/>
      <c r="AG105" s="149"/>
      <c r="AH105" s="184"/>
    </row>
    <row r="106" spans="2:34" ht="35.1" customHeight="1" thickTop="1" thickBot="1" x14ac:dyDescent="0.25">
      <c r="B106" s="141"/>
      <c r="C106" s="141"/>
      <c r="D106" s="141"/>
      <c r="E106" s="141"/>
      <c r="F106" s="141"/>
      <c r="G106" s="141"/>
      <c r="H106" s="141"/>
      <c r="I106" s="158"/>
      <c r="J106" s="18" t="s">
        <v>30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e">
        <f t="shared" si="11"/>
        <v>#DIV/0!</v>
      </c>
      <c r="AA106" s="147" t="e">
        <f>AVERAGE(Z106,Z107,Z108,Z111)</f>
        <v>#DIV/0!</v>
      </c>
      <c r="AB106" s="150"/>
      <c r="AC106" s="151"/>
      <c r="AD106" s="151"/>
      <c r="AE106" s="163"/>
      <c r="AF106" s="150"/>
      <c r="AG106" s="150"/>
      <c r="AH106" s="182" t="e">
        <f t="shared" ref="AH106" si="18">(AC106)/AB106</f>
        <v>#DIV/0!</v>
      </c>
    </row>
    <row r="107" spans="2:34" ht="35.1" customHeight="1" thickTop="1" thickBot="1" x14ac:dyDescent="0.25">
      <c r="B107" s="142"/>
      <c r="C107" s="142"/>
      <c r="D107" s="142"/>
      <c r="E107" s="142"/>
      <c r="F107" s="142"/>
      <c r="G107" s="142"/>
      <c r="H107" s="142"/>
      <c r="I107" s="159"/>
      <c r="J107" s="18" t="s">
        <v>29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e">
        <f t="shared" si="11"/>
        <v>#DIV/0!</v>
      </c>
      <c r="AA107" s="148"/>
      <c r="AB107" s="148"/>
      <c r="AC107" s="152"/>
      <c r="AD107" s="152"/>
      <c r="AE107" s="164"/>
      <c r="AF107" s="148"/>
      <c r="AG107" s="148"/>
      <c r="AH107" s="183"/>
    </row>
    <row r="108" spans="2:34" ht="35.1" customHeight="1" thickTop="1" thickBot="1" x14ac:dyDescent="0.25">
      <c r="B108" s="142"/>
      <c r="C108" s="142"/>
      <c r="D108" s="142"/>
      <c r="E108" s="142"/>
      <c r="F108" s="142"/>
      <c r="G108" s="142"/>
      <c r="H108" s="142"/>
      <c r="I108" s="159"/>
      <c r="J108" s="18" t="s">
        <v>28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e">
        <f t="shared" si="11"/>
        <v>#DIV/0!</v>
      </c>
      <c r="AA108" s="148"/>
      <c r="AB108" s="148"/>
      <c r="AC108" s="152"/>
      <c r="AD108" s="152"/>
      <c r="AE108" s="164"/>
      <c r="AF108" s="148"/>
      <c r="AG108" s="148"/>
      <c r="AH108" s="183"/>
    </row>
    <row r="109" spans="2:34" ht="35.1" customHeight="1" thickTop="1" thickBot="1" x14ac:dyDescent="0.25">
      <c r="B109" s="142"/>
      <c r="C109" s="142"/>
      <c r="D109" s="142"/>
      <c r="E109" s="142"/>
      <c r="F109" s="142"/>
      <c r="G109" s="142"/>
      <c r="H109" s="142"/>
      <c r="I109" s="159"/>
      <c r="J109" s="18" t="s">
        <v>27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e">
        <f t="shared" si="11"/>
        <v>#DIV/0!</v>
      </c>
      <c r="AA109" s="148"/>
      <c r="AB109" s="148"/>
      <c r="AC109" s="152"/>
      <c r="AD109" s="152"/>
      <c r="AE109" s="164"/>
      <c r="AF109" s="148"/>
      <c r="AG109" s="148"/>
      <c r="AH109" s="183"/>
    </row>
    <row r="110" spans="2:34" ht="35.1" customHeight="1" thickTop="1" thickBot="1" x14ac:dyDescent="0.25">
      <c r="B110" s="142"/>
      <c r="C110" s="142"/>
      <c r="D110" s="142"/>
      <c r="E110" s="142"/>
      <c r="F110" s="142"/>
      <c r="G110" s="142"/>
      <c r="H110" s="142"/>
      <c r="I110" s="159"/>
      <c r="J110" s="18" t="s">
        <v>26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e">
        <f t="shared" si="11"/>
        <v>#DIV/0!</v>
      </c>
      <c r="AA110" s="148"/>
      <c r="AB110" s="148"/>
      <c r="AC110" s="152"/>
      <c r="AD110" s="152"/>
      <c r="AE110" s="164"/>
      <c r="AF110" s="148"/>
      <c r="AG110" s="148"/>
      <c r="AH110" s="183"/>
    </row>
    <row r="111" spans="2:34" ht="35.1" customHeight="1" thickTop="1" thickBot="1" x14ac:dyDescent="0.25">
      <c r="B111" s="143"/>
      <c r="C111" s="143"/>
      <c r="D111" s="143"/>
      <c r="E111" s="143"/>
      <c r="F111" s="143"/>
      <c r="G111" s="143"/>
      <c r="H111" s="143"/>
      <c r="I111" s="160"/>
      <c r="J111" s="12" t="s">
        <v>25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e">
        <f t="shared" si="11"/>
        <v>#DIV/0!</v>
      </c>
      <c r="AA111" s="149"/>
      <c r="AB111" s="149"/>
      <c r="AC111" s="153"/>
      <c r="AD111" s="153"/>
      <c r="AE111" s="165"/>
      <c r="AF111" s="149"/>
      <c r="AG111" s="149"/>
      <c r="AH111" s="184"/>
    </row>
    <row r="112" spans="2:34" ht="35.1" customHeight="1" thickTop="1" thickBot="1" x14ac:dyDescent="0.25">
      <c r="B112" s="141"/>
      <c r="C112" s="141"/>
      <c r="D112" s="141"/>
      <c r="E112" s="141"/>
      <c r="F112" s="141"/>
      <c r="G112" s="141"/>
      <c r="H112" s="141"/>
      <c r="I112" s="158"/>
      <c r="J112" s="18" t="s">
        <v>30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e">
        <f t="shared" si="11"/>
        <v>#DIV/0!</v>
      </c>
      <c r="AA112" s="147" t="e">
        <f>AVERAGE(Z112,Z113,Z114,Z117)</f>
        <v>#DIV/0!</v>
      </c>
      <c r="AB112" s="150"/>
      <c r="AC112" s="151"/>
      <c r="AD112" s="151"/>
      <c r="AE112" s="163"/>
      <c r="AF112" s="150"/>
      <c r="AG112" s="150"/>
      <c r="AH112" s="182" t="e">
        <f t="shared" ref="AH112" si="19">(AC112)/AB112</f>
        <v>#DIV/0!</v>
      </c>
    </row>
    <row r="113" spans="2:34" ht="35.1" customHeight="1" thickTop="1" thickBot="1" x14ac:dyDescent="0.25">
      <c r="B113" s="142"/>
      <c r="C113" s="142"/>
      <c r="D113" s="142"/>
      <c r="E113" s="142"/>
      <c r="F113" s="142"/>
      <c r="G113" s="142"/>
      <c r="H113" s="142"/>
      <c r="I113" s="159"/>
      <c r="J113" s="18" t="s">
        <v>29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e">
        <f t="shared" si="11"/>
        <v>#DIV/0!</v>
      </c>
      <c r="AA113" s="148"/>
      <c r="AB113" s="148"/>
      <c r="AC113" s="152"/>
      <c r="AD113" s="152"/>
      <c r="AE113" s="164"/>
      <c r="AF113" s="148"/>
      <c r="AG113" s="148"/>
      <c r="AH113" s="183"/>
    </row>
    <row r="114" spans="2:34" ht="35.1" customHeight="1" thickTop="1" thickBot="1" x14ac:dyDescent="0.25">
      <c r="B114" s="142"/>
      <c r="C114" s="142"/>
      <c r="D114" s="142"/>
      <c r="E114" s="142"/>
      <c r="F114" s="142"/>
      <c r="G114" s="142"/>
      <c r="H114" s="142"/>
      <c r="I114" s="159"/>
      <c r="J114" s="18" t="s">
        <v>28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e">
        <f t="shared" si="11"/>
        <v>#DIV/0!</v>
      </c>
      <c r="AA114" s="148"/>
      <c r="AB114" s="148"/>
      <c r="AC114" s="152"/>
      <c r="AD114" s="152"/>
      <c r="AE114" s="164"/>
      <c r="AF114" s="148"/>
      <c r="AG114" s="148"/>
      <c r="AH114" s="183"/>
    </row>
    <row r="115" spans="2:34" ht="35.1" customHeight="1" thickTop="1" thickBot="1" x14ac:dyDescent="0.25">
      <c r="B115" s="142"/>
      <c r="C115" s="142"/>
      <c r="D115" s="142"/>
      <c r="E115" s="142"/>
      <c r="F115" s="142"/>
      <c r="G115" s="142"/>
      <c r="H115" s="142"/>
      <c r="I115" s="159"/>
      <c r="J115" s="18" t="s">
        <v>27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e">
        <f t="shared" si="11"/>
        <v>#DIV/0!</v>
      </c>
      <c r="AA115" s="148"/>
      <c r="AB115" s="148"/>
      <c r="AC115" s="152"/>
      <c r="AD115" s="152"/>
      <c r="AE115" s="164"/>
      <c r="AF115" s="148"/>
      <c r="AG115" s="148"/>
      <c r="AH115" s="183"/>
    </row>
    <row r="116" spans="2:34" ht="35.1" customHeight="1" thickTop="1" thickBot="1" x14ac:dyDescent="0.25">
      <c r="B116" s="142"/>
      <c r="C116" s="142"/>
      <c r="D116" s="142"/>
      <c r="E116" s="142"/>
      <c r="F116" s="142"/>
      <c r="G116" s="142"/>
      <c r="H116" s="142"/>
      <c r="I116" s="159"/>
      <c r="J116" s="18" t="s">
        <v>26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e">
        <f t="shared" si="11"/>
        <v>#DIV/0!</v>
      </c>
      <c r="AA116" s="148"/>
      <c r="AB116" s="148"/>
      <c r="AC116" s="152"/>
      <c r="AD116" s="152"/>
      <c r="AE116" s="164"/>
      <c r="AF116" s="148"/>
      <c r="AG116" s="148"/>
      <c r="AH116" s="183"/>
    </row>
    <row r="117" spans="2:34" ht="35.1" customHeight="1" thickTop="1" thickBot="1" x14ac:dyDescent="0.25">
      <c r="B117" s="143"/>
      <c r="C117" s="143"/>
      <c r="D117" s="143"/>
      <c r="E117" s="143"/>
      <c r="F117" s="143"/>
      <c r="G117" s="143"/>
      <c r="H117" s="143"/>
      <c r="I117" s="160"/>
      <c r="J117" s="12" t="s">
        <v>25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e">
        <f t="shared" si="11"/>
        <v>#DIV/0!</v>
      </c>
      <c r="AA117" s="149"/>
      <c r="AB117" s="149"/>
      <c r="AC117" s="153"/>
      <c r="AD117" s="153"/>
      <c r="AE117" s="165"/>
      <c r="AF117" s="149"/>
      <c r="AG117" s="149"/>
      <c r="AH117" s="184"/>
    </row>
    <row r="118" spans="2:34" ht="35.1" customHeight="1" thickTop="1" thickBot="1" x14ac:dyDescent="0.25">
      <c r="B118" s="141"/>
      <c r="C118" s="141"/>
      <c r="D118" s="141"/>
      <c r="E118" s="141"/>
      <c r="F118" s="141"/>
      <c r="G118" s="141"/>
      <c r="H118" s="141"/>
      <c r="I118" s="158"/>
      <c r="J118" s="18" t="s">
        <v>30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e">
        <f t="shared" si="11"/>
        <v>#DIV/0!</v>
      </c>
      <c r="AA118" s="147" t="e">
        <f>AVERAGE(Z118,Z119,Z120,Z123)</f>
        <v>#DIV/0!</v>
      </c>
      <c r="AB118" s="150"/>
      <c r="AC118" s="151"/>
      <c r="AD118" s="151"/>
      <c r="AE118" s="163"/>
      <c r="AF118" s="150"/>
      <c r="AG118" s="150"/>
      <c r="AH118" s="182" t="e">
        <f t="shared" ref="AH118" si="20">(AC118)/AB118</f>
        <v>#DIV/0!</v>
      </c>
    </row>
    <row r="119" spans="2:34" ht="35.1" customHeight="1" thickTop="1" thickBot="1" x14ac:dyDescent="0.25">
      <c r="B119" s="142"/>
      <c r="C119" s="142"/>
      <c r="D119" s="142"/>
      <c r="E119" s="142"/>
      <c r="F119" s="142"/>
      <c r="G119" s="142"/>
      <c r="H119" s="142"/>
      <c r="I119" s="159"/>
      <c r="J119" s="18" t="s">
        <v>29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e">
        <f t="shared" si="11"/>
        <v>#DIV/0!</v>
      </c>
      <c r="AA119" s="148"/>
      <c r="AB119" s="148"/>
      <c r="AC119" s="152"/>
      <c r="AD119" s="152"/>
      <c r="AE119" s="164"/>
      <c r="AF119" s="148"/>
      <c r="AG119" s="148"/>
      <c r="AH119" s="183"/>
    </row>
    <row r="120" spans="2:34" ht="35.1" customHeight="1" thickTop="1" thickBot="1" x14ac:dyDescent="0.25">
      <c r="B120" s="142"/>
      <c r="C120" s="142"/>
      <c r="D120" s="142"/>
      <c r="E120" s="142"/>
      <c r="F120" s="142"/>
      <c r="G120" s="142"/>
      <c r="H120" s="142"/>
      <c r="I120" s="159"/>
      <c r="J120" s="18" t="s">
        <v>28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e">
        <f t="shared" si="11"/>
        <v>#DIV/0!</v>
      </c>
      <c r="AA120" s="148"/>
      <c r="AB120" s="148"/>
      <c r="AC120" s="152"/>
      <c r="AD120" s="152"/>
      <c r="AE120" s="164"/>
      <c r="AF120" s="148"/>
      <c r="AG120" s="148"/>
      <c r="AH120" s="183"/>
    </row>
    <row r="121" spans="2:34" ht="35.1" customHeight="1" thickTop="1" thickBot="1" x14ac:dyDescent="0.25">
      <c r="B121" s="142"/>
      <c r="C121" s="142"/>
      <c r="D121" s="142"/>
      <c r="E121" s="142"/>
      <c r="F121" s="142"/>
      <c r="G121" s="142"/>
      <c r="H121" s="142"/>
      <c r="I121" s="159"/>
      <c r="J121" s="18" t="s">
        <v>27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e">
        <f t="shared" si="11"/>
        <v>#DIV/0!</v>
      </c>
      <c r="AA121" s="148"/>
      <c r="AB121" s="148"/>
      <c r="AC121" s="152"/>
      <c r="AD121" s="152"/>
      <c r="AE121" s="164"/>
      <c r="AF121" s="148"/>
      <c r="AG121" s="148"/>
      <c r="AH121" s="183"/>
    </row>
    <row r="122" spans="2:34" ht="35.1" customHeight="1" thickTop="1" thickBot="1" x14ac:dyDescent="0.25">
      <c r="B122" s="142"/>
      <c r="C122" s="142"/>
      <c r="D122" s="142"/>
      <c r="E122" s="142"/>
      <c r="F122" s="142"/>
      <c r="G122" s="142"/>
      <c r="H122" s="142"/>
      <c r="I122" s="159"/>
      <c r="J122" s="18" t="s">
        <v>26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e">
        <f t="shared" si="11"/>
        <v>#DIV/0!</v>
      </c>
      <c r="AA122" s="148"/>
      <c r="AB122" s="148"/>
      <c r="AC122" s="152"/>
      <c r="AD122" s="152"/>
      <c r="AE122" s="164"/>
      <c r="AF122" s="148"/>
      <c r="AG122" s="148"/>
      <c r="AH122" s="183"/>
    </row>
    <row r="123" spans="2:34" ht="35.1" customHeight="1" thickTop="1" thickBot="1" x14ac:dyDescent="0.25">
      <c r="B123" s="143"/>
      <c r="C123" s="143"/>
      <c r="D123" s="143"/>
      <c r="E123" s="143"/>
      <c r="F123" s="143"/>
      <c r="G123" s="143"/>
      <c r="H123" s="143"/>
      <c r="I123" s="160"/>
      <c r="J123" s="12" t="s">
        <v>25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e">
        <f t="shared" si="11"/>
        <v>#DIV/0!</v>
      </c>
      <c r="AA123" s="149"/>
      <c r="AB123" s="149"/>
      <c r="AC123" s="153"/>
      <c r="AD123" s="153"/>
      <c r="AE123" s="165"/>
      <c r="AF123" s="149"/>
      <c r="AG123" s="149"/>
      <c r="AH123" s="184"/>
    </row>
    <row r="124" spans="2:34" ht="35.1" customHeight="1" thickTop="1" thickBot="1" x14ac:dyDescent="0.25">
      <c r="B124" s="141"/>
      <c r="C124" s="141"/>
      <c r="D124" s="141"/>
      <c r="E124" s="141"/>
      <c r="F124" s="141"/>
      <c r="G124" s="141"/>
      <c r="H124" s="141"/>
      <c r="I124" s="158"/>
      <c r="J124" s="18" t="s">
        <v>30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e">
        <f t="shared" si="11"/>
        <v>#DIV/0!</v>
      </c>
      <c r="AA124" s="147" t="e">
        <f>AVERAGE(Z124,Z125,Z126,Z129)</f>
        <v>#DIV/0!</v>
      </c>
      <c r="AB124" s="150"/>
      <c r="AC124" s="151"/>
      <c r="AD124" s="151"/>
      <c r="AE124" s="163"/>
      <c r="AF124" s="150"/>
      <c r="AG124" s="150"/>
      <c r="AH124" s="182" t="e">
        <f t="shared" ref="AH124" si="21">(AC124)/AB124</f>
        <v>#DIV/0!</v>
      </c>
    </row>
    <row r="125" spans="2:34" ht="35.1" customHeight="1" thickTop="1" thickBot="1" x14ac:dyDescent="0.25">
      <c r="B125" s="142"/>
      <c r="C125" s="142"/>
      <c r="D125" s="142"/>
      <c r="E125" s="142"/>
      <c r="F125" s="142"/>
      <c r="G125" s="142"/>
      <c r="H125" s="142"/>
      <c r="I125" s="159"/>
      <c r="J125" s="18" t="s">
        <v>29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e">
        <f t="shared" si="11"/>
        <v>#DIV/0!</v>
      </c>
      <c r="AA125" s="148"/>
      <c r="AB125" s="148"/>
      <c r="AC125" s="152"/>
      <c r="AD125" s="152"/>
      <c r="AE125" s="164"/>
      <c r="AF125" s="148"/>
      <c r="AG125" s="148"/>
      <c r="AH125" s="183"/>
    </row>
    <row r="126" spans="2:34" ht="35.1" customHeight="1" thickTop="1" thickBot="1" x14ac:dyDescent="0.25">
      <c r="B126" s="142"/>
      <c r="C126" s="142"/>
      <c r="D126" s="142"/>
      <c r="E126" s="142"/>
      <c r="F126" s="142"/>
      <c r="G126" s="142"/>
      <c r="H126" s="142"/>
      <c r="I126" s="159"/>
      <c r="J126" s="18" t="s">
        <v>28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e">
        <f t="shared" si="11"/>
        <v>#DIV/0!</v>
      </c>
      <c r="AA126" s="148"/>
      <c r="AB126" s="148"/>
      <c r="AC126" s="152"/>
      <c r="AD126" s="152"/>
      <c r="AE126" s="164"/>
      <c r="AF126" s="148"/>
      <c r="AG126" s="148"/>
      <c r="AH126" s="183"/>
    </row>
    <row r="127" spans="2:34" ht="35.1" customHeight="1" thickTop="1" thickBot="1" x14ac:dyDescent="0.25">
      <c r="B127" s="142"/>
      <c r="C127" s="142"/>
      <c r="D127" s="142"/>
      <c r="E127" s="142"/>
      <c r="F127" s="142"/>
      <c r="G127" s="142"/>
      <c r="H127" s="142"/>
      <c r="I127" s="159"/>
      <c r="J127" s="18" t="s">
        <v>27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e">
        <f t="shared" si="11"/>
        <v>#DIV/0!</v>
      </c>
      <c r="AA127" s="148"/>
      <c r="AB127" s="148"/>
      <c r="AC127" s="152"/>
      <c r="AD127" s="152"/>
      <c r="AE127" s="164"/>
      <c r="AF127" s="148"/>
      <c r="AG127" s="148"/>
      <c r="AH127" s="183"/>
    </row>
    <row r="128" spans="2:34" ht="35.1" customHeight="1" thickTop="1" thickBot="1" x14ac:dyDescent="0.25">
      <c r="B128" s="142"/>
      <c r="C128" s="142"/>
      <c r="D128" s="142"/>
      <c r="E128" s="142"/>
      <c r="F128" s="142"/>
      <c r="G128" s="142"/>
      <c r="H128" s="142"/>
      <c r="I128" s="159"/>
      <c r="J128" s="18" t="s">
        <v>26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e">
        <f t="shared" si="11"/>
        <v>#DIV/0!</v>
      </c>
      <c r="AA128" s="148"/>
      <c r="AB128" s="148"/>
      <c r="AC128" s="152"/>
      <c r="AD128" s="152"/>
      <c r="AE128" s="164"/>
      <c r="AF128" s="148"/>
      <c r="AG128" s="148"/>
      <c r="AH128" s="183"/>
    </row>
    <row r="129" spans="2:34" ht="35.1" customHeight="1" thickTop="1" thickBot="1" x14ac:dyDescent="0.25">
      <c r="B129" s="143"/>
      <c r="C129" s="143"/>
      <c r="D129" s="143"/>
      <c r="E129" s="143"/>
      <c r="F129" s="143"/>
      <c r="G129" s="143"/>
      <c r="H129" s="143"/>
      <c r="I129" s="160"/>
      <c r="J129" s="12" t="s">
        <v>25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e">
        <f t="shared" si="11"/>
        <v>#DIV/0!</v>
      </c>
      <c r="AA129" s="149"/>
      <c r="AB129" s="149"/>
      <c r="AC129" s="153"/>
      <c r="AD129" s="153"/>
      <c r="AE129" s="165"/>
      <c r="AF129" s="149"/>
      <c r="AG129" s="149"/>
      <c r="AH129" s="184"/>
    </row>
    <row r="130" spans="2:34" ht="35.1" customHeight="1" thickTop="1" thickBot="1" x14ac:dyDescent="0.25">
      <c r="B130" s="141"/>
      <c r="C130" s="141"/>
      <c r="D130" s="141"/>
      <c r="E130" s="141"/>
      <c r="F130" s="141"/>
      <c r="G130" s="141"/>
      <c r="H130" s="141"/>
      <c r="I130" s="158"/>
      <c r="J130" s="18" t="s">
        <v>30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e">
        <f t="shared" si="11"/>
        <v>#DIV/0!</v>
      </c>
      <c r="AA130" s="147" t="e">
        <f>AVERAGE(Z130,Z131,Z132,Z135)</f>
        <v>#DIV/0!</v>
      </c>
      <c r="AB130" s="150"/>
      <c r="AC130" s="151"/>
      <c r="AD130" s="151"/>
      <c r="AE130" s="163"/>
      <c r="AF130" s="150"/>
      <c r="AG130" s="150"/>
      <c r="AH130" s="182" t="e">
        <f t="shared" ref="AH130" si="22">(AC130)/AB130</f>
        <v>#DIV/0!</v>
      </c>
    </row>
    <row r="131" spans="2:34" ht="35.1" customHeight="1" thickTop="1" thickBot="1" x14ac:dyDescent="0.25">
      <c r="B131" s="142"/>
      <c r="C131" s="142"/>
      <c r="D131" s="142"/>
      <c r="E131" s="142"/>
      <c r="F131" s="142"/>
      <c r="G131" s="142"/>
      <c r="H131" s="142"/>
      <c r="I131" s="159"/>
      <c r="J131" s="18" t="s">
        <v>29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e">
        <f t="shared" si="11"/>
        <v>#DIV/0!</v>
      </c>
      <c r="AA131" s="148"/>
      <c r="AB131" s="148"/>
      <c r="AC131" s="152"/>
      <c r="AD131" s="152"/>
      <c r="AE131" s="164"/>
      <c r="AF131" s="148"/>
      <c r="AG131" s="148"/>
      <c r="AH131" s="183"/>
    </row>
    <row r="132" spans="2:34" ht="35.1" customHeight="1" thickTop="1" thickBot="1" x14ac:dyDescent="0.25">
      <c r="B132" s="142"/>
      <c r="C132" s="142"/>
      <c r="D132" s="142"/>
      <c r="E132" s="142"/>
      <c r="F132" s="142"/>
      <c r="G132" s="142"/>
      <c r="H132" s="142"/>
      <c r="I132" s="159"/>
      <c r="J132" s="18" t="s">
        <v>28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e">
        <f t="shared" ref="Z132:Z195" si="23">(L132)/K132</f>
        <v>#DIV/0!</v>
      </c>
      <c r="AA132" s="148"/>
      <c r="AB132" s="148"/>
      <c r="AC132" s="152"/>
      <c r="AD132" s="152"/>
      <c r="AE132" s="164"/>
      <c r="AF132" s="148"/>
      <c r="AG132" s="148"/>
      <c r="AH132" s="183"/>
    </row>
    <row r="133" spans="2:34" ht="35.1" customHeight="1" thickTop="1" thickBot="1" x14ac:dyDescent="0.25">
      <c r="B133" s="142"/>
      <c r="C133" s="142"/>
      <c r="D133" s="142"/>
      <c r="E133" s="142"/>
      <c r="F133" s="142"/>
      <c r="G133" s="142"/>
      <c r="H133" s="142"/>
      <c r="I133" s="159"/>
      <c r="J133" s="18" t="s">
        <v>27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e">
        <f t="shared" si="23"/>
        <v>#DIV/0!</v>
      </c>
      <c r="AA133" s="148"/>
      <c r="AB133" s="148"/>
      <c r="AC133" s="152"/>
      <c r="AD133" s="152"/>
      <c r="AE133" s="164"/>
      <c r="AF133" s="148"/>
      <c r="AG133" s="148"/>
      <c r="AH133" s="183"/>
    </row>
    <row r="134" spans="2:34" ht="35.1" customHeight="1" thickTop="1" thickBot="1" x14ac:dyDescent="0.25">
      <c r="B134" s="142"/>
      <c r="C134" s="142"/>
      <c r="D134" s="142"/>
      <c r="E134" s="142"/>
      <c r="F134" s="142"/>
      <c r="G134" s="142"/>
      <c r="H134" s="142"/>
      <c r="I134" s="159"/>
      <c r="J134" s="18" t="s">
        <v>26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e">
        <f t="shared" si="23"/>
        <v>#DIV/0!</v>
      </c>
      <c r="AA134" s="148"/>
      <c r="AB134" s="148"/>
      <c r="AC134" s="152"/>
      <c r="AD134" s="152"/>
      <c r="AE134" s="164"/>
      <c r="AF134" s="148"/>
      <c r="AG134" s="148"/>
      <c r="AH134" s="183"/>
    </row>
    <row r="135" spans="2:34" ht="35.1" customHeight="1" thickTop="1" thickBot="1" x14ac:dyDescent="0.25">
      <c r="B135" s="143"/>
      <c r="C135" s="143"/>
      <c r="D135" s="143"/>
      <c r="E135" s="143"/>
      <c r="F135" s="143"/>
      <c r="G135" s="143"/>
      <c r="H135" s="143"/>
      <c r="I135" s="160"/>
      <c r="J135" s="12" t="s">
        <v>25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e">
        <f t="shared" si="23"/>
        <v>#DIV/0!</v>
      </c>
      <c r="AA135" s="149"/>
      <c r="AB135" s="149"/>
      <c r="AC135" s="153"/>
      <c r="AD135" s="153"/>
      <c r="AE135" s="165"/>
      <c r="AF135" s="149"/>
      <c r="AG135" s="149"/>
      <c r="AH135" s="184"/>
    </row>
    <row r="136" spans="2:34" ht="35.1" customHeight="1" thickTop="1" thickBot="1" x14ac:dyDescent="0.25">
      <c r="B136" s="141"/>
      <c r="C136" s="141"/>
      <c r="D136" s="141"/>
      <c r="E136" s="141"/>
      <c r="F136" s="141"/>
      <c r="G136" s="141"/>
      <c r="H136" s="141"/>
      <c r="I136" s="158"/>
      <c r="J136" s="18" t="s">
        <v>30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e">
        <f t="shared" si="23"/>
        <v>#DIV/0!</v>
      </c>
      <c r="AA136" s="147" t="e">
        <f>AVERAGE(Z136,Z137,Z138,Z141)</f>
        <v>#DIV/0!</v>
      </c>
      <c r="AB136" s="150"/>
      <c r="AC136" s="151"/>
      <c r="AD136" s="151"/>
      <c r="AE136" s="163"/>
      <c r="AF136" s="150"/>
      <c r="AG136" s="150"/>
      <c r="AH136" s="182" t="e">
        <f t="shared" ref="AH136" si="24">(AC136)/AB136</f>
        <v>#DIV/0!</v>
      </c>
    </row>
    <row r="137" spans="2:34" ht="35.1" customHeight="1" thickTop="1" thickBot="1" x14ac:dyDescent="0.25">
      <c r="B137" s="142"/>
      <c r="C137" s="142"/>
      <c r="D137" s="142"/>
      <c r="E137" s="142"/>
      <c r="F137" s="142"/>
      <c r="G137" s="142"/>
      <c r="H137" s="142"/>
      <c r="I137" s="159"/>
      <c r="J137" s="18" t="s">
        <v>29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e">
        <f t="shared" si="23"/>
        <v>#DIV/0!</v>
      </c>
      <c r="AA137" s="148"/>
      <c r="AB137" s="148"/>
      <c r="AC137" s="152"/>
      <c r="AD137" s="152"/>
      <c r="AE137" s="164"/>
      <c r="AF137" s="148"/>
      <c r="AG137" s="148"/>
      <c r="AH137" s="183"/>
    </row>
    <row r="138" spans="2:34" ht="35.1" customHeight="1" thickTop="1" thickBot="1" x14ac:dyDescent="0.25">
      <c r="B138" s="142"/>
      <c r="C138" s="142"/>
      <c r="D138" s="142"/>
      <c r="E138" s="142"/>
      <c r="F138" s="142"/>
      <c r="G138" s="142"/>
      <c r="H138" s="142"/>
      <c r="I138" s="159"/>
      <c r="J138" s="18" t="s">
        <v>28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e">
        <f t="shared" si="23"/>
        <v>#DIV/0!</v>
      </c>
      <c r="AA138" s="148"/>
      <c r="AB138" s="148"/>
      <c r="AC138" s="152"/>
      <c r="AD138" s="152"/>
      <c r="AE138" s="164"/>
      <c r="AF138" s="148"/>
      <c r="AG138" s="148"/>
      <c r="AH138" s="183"/>
    </row>
    <row r="139" spans="2:34" ht="35.1" customHeight="1" thickTop="1" thickBot="1" x14ac:dyDescent="0.25">
      <c r="B139" s="142"/>
      <c r="C139" s="142"/>
      <c r="D139" s="142"/>
      <c r="E139" s="142"/>
      <c r="F139" s="142"/>
      <c r="G139" s="142"/>
      <c r="H139" s="142"/>
      <c r="I139" s="159"/>
      <c r="J139" s="18" t="s">
        <v>27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e">
        <f t="shared" si="23"/>
        <v>#DIV/0!</v>
      </c>
      <c r="AA139" s="148"/>
      <c r="AB139" s="148"/>
      <c r="AC139" s="152"/>
      <c r="AD139" s="152"/>
      <c r="AE139" s="164"/>
      <c r="AF139" s="148"/>
      <c r="AG139" s="148"/>
      <c r="AH139" s="183"/>
    </row>
    <row r="140" spans="2:34" ht="35.1" customHeight="1" thickTop="1" thickBot="1" x14ac:dyDescent="0.25">
      <c r="B140" s="142"/>
      <c r="C140" s="142"/>
      <c r="D140" s="142"/>
      <c r="E140" s="142"/>
      <c r="F140" s="142"/>
      <c r="G140" s="142"/>
      <c r="H140" s="142"/>
      <c r="I140" s="159"/>
      <c r="J140" s="18" t="s">
        <v>26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e">
        <f t="shared" si="23"/>
        <v>#DIV/0!</v>
      </c>
      <c r="AA140" s="148"/>
      <c r="AB140" s="148"/>
      <c r="AC140" s="152"/>
      <c r="AD140" s="152"/>
      <c r="AE140" s="164"/>
      <c r="AF140" s="148"/>
      <c r="AG140" s="148"/>
      <c r="AH140" s="183"/>
    </row>
    <row r="141" spans="2:34" ht="35.1" customHeight="1" thickTop="1" thickBot="1" x14ac:dyDescent="0.25">
      <c r="B141" s="143"/>
      <c r="C141" s="143"/>
      <c r="D141" s="143"/>
      <c r="E141" s="143"/>
      <c r="F141" s="143"/>
      <c r="G141" s="143"/>
      <c r="H141" s="143"/>
      <c r="I141" s="160"/>
      <c r="J141" s="12" t="s">
        <v>25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e">
        <f t="shared" si="23"/>
        <v>#DIV/0!</v>
      </c>
      <c r="AA141" s="149"/>
      <c r="AB141" s="149"/>
      <c r="AC141" s="153"/>
      <c r="AD141" s="153"/>
      <c r="AE141" s="165"/>
      <c r="AF141" s="149"/>
      <c r="AG141" s="149"/>
      <c r="AH141" s="184"/>
    </row>
    <row r="142" spans="2:34" ht="35.1" customHeight="1" thickTop="1" thickBot="1" x14ac:dyDescent="0.25">
      <c r="B142" s="141"/>
      <c r="C142" s="141"/>
      <c r="D142" s="141"/>
      <c r="E142" s="141"/>
      <c r="F142" s="141"/>
      <c r="G142" s="141"/>
      <c r="H142" s="141"/>
      <c r="I142" s="158"/>
      <c r="J142" s="18" t="s">
        <v>30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e">
        <f t="shared" si="23"/>
        <v>#DIV/0!</v>
      </c>
      <c r="AA142" s="147" t="e">
        <f>AVERAGE(Z142,Z143,Z144,Z147)</f>
        <v>#DIV/0!</v>
      </c>
      <c r="AB142" s="150"/>
      <c r="AC142" s="151"/>
      <c r="AD142" s="151"/>
      <c r="AE142" s="163"/>
      <c r="AF142" s="150"/>
      <c r="AG142" s="150"/>
      <c r="AH142" s="182" t="e">
        <f t="shared" ref="AH142" si="25">(AC142)/AB142</f>
        <v>#DIV/0!</v>
      </c>
    </row>
    <row r="143" spans="2:34" ht="35.1" customHeight="1" thickTop="1" thickBot="1" x14ac:dyDescent="0.25">
      <c r="B143" s="142"/>
      <c r="C143" s="142"/>
      <c r="D143" s="142"/>
      <c r="E143" s="142"/>
      <c r="F143" s="142"/>
      <c r="G143" s="142"/>
      <c r="H143" s="142"/>
      <c r="I143" s="159"/>
      <c r="J143" s="18" t="s">
        <v>29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e">
        <f t="shared" si="23"/>
        <v>#DIV/0!</v>
      </c>
      <c r="AA143" s="148"/>
      <c r="AB143" s="148"/>
      <c r="AC143" s="152"/>
      <c r="AD143" s="152"/>
      <c r="AE143" s="164"/>
      <c r="AF143" s="148"/>
      <c r="AG143" s="148"/>
      <c r="AH143" s="183"/>
    </row>
    <row r="144" spans="2:34" ht="35.1" customHeight="1" thickTop="1" thickBot="1" x14ac:dyDescent="0.25">
      <c r="B144" s="142"/>
      <c r="C144" s="142"/>
      <c r="D144" s="142"/>
      <c r="E144" s="142"/>
      <c r="F144" s="142"/>
      <c r="G144" s="142"/>
      <c r="H144" s="142"/>
      <c r="I144" s="159"/>
      <c r="J144" s="18" t="s">
        <v>28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e">
        <f t="shared" si="23"/>
        <v>#DIV/0!</v>
      </c>
      <c r="AA144" s="148"/>
      <c r="AB144" s="148"/>
      <c r="AC144" s="152"/>
      <c r="AD144" s="152"/>
      <c r="AE144" s="164"/>
      <c r="AF144" s="148"/>
      <c r="AG144" s="148"/>
      <c r="AH144" s="183"/>
    </row>
    <row r="145" spans="2:34" ht="35.1" customHeight="1" thickTop="1" thickBot="1" x14ac:dyDescent="0.25">
      <c r="B145" s="142"/>
      <c r="C145" s="142"/>
      <c r="D145" s="142"/>
      <c r="E145" s="142"/>
      <c r="F145" s="142"/>
      <c r="G145" s="142"/>
      <c r="H145" s="142"/>
      <c r="I145" s="159"/>
      <c r="J145" s="18" t="s">
        <v>27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e">
        <f t="shared" si="23"/>
        <v>#DIV/0!</v>
      </c>
      <c r="AA145" s="148"/>
      <c r="AB145" s="148"/>
      <c r="AC145" s="152"/>
      <c r="AD145" s="152"/>
      <c r="AE145" s="164"/>
      <c r="AF145" s="148"/>
      <c r="AG145" s="148"/>
      <c r="AH145" s="183"/>
    </row>
    <row r="146" spans="2:34" ht="35.1" customHeight="1" thickTop="1" thickBot="1" x14ac:dyDescent="0.25">
      <c r="B146" s="142"/>
      <c r="C146" s="142"/>
      <c r="D146" s="142"/>
      <c r="E146" s="142"/>
      <c r="F146" s="142"/>
      <c r="G146" s="142"/>
      <c r="H146" s="142"/>
      <c r="I146" s="159"/>
      <c r="J146" s="18" t="s">
        <v>26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e">
        <f t="shared" si="23"/>
        <v>#DIV/0!</v>
      </c>
      <c r="AA146" s="148"/>
      <c r="AB146" s="148"/>
      <c r="AC146" s="152"/>
      <c r="AD146" s="152"/>
      <c r="AE146" s="164"/>
      <c r="AF146" s="148"/>
      <c r="AG146" s="148"/>
      <c r="AH146" s="183"/>
    </row>
    <row r="147" spans="2:34" ht="35.1" customHeight="1" thickTop="1" thickBot="1" x14ac:dyDescent="0.25">
      <c r="B147" s="143"/>
      <c r="C147" s="143"/>
      <c r="D147" s="143"/>
      <c r="E147" s="143"/>
      <c r="F147" s="143"/>
      <c r="G147" s="143"/>
      <c r="H147" s="143"/>
      <c r="I147" s="160"/>
      <c r="J147" s="12" t="s">
        <v>25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e">
        <f t="shared" si="23"/>
        <v>#DIV/0!</v>
      </c>
      <c r="AA147" s="149"/>
      <c r="AB147" s="149"/>
      <c r="AC147" s="153"/>
      <c r="AD147" s="153"/>
      <c r="AE147" s="165"/>
      <c r="AF147" s="149"/>
      <c r="AG147" s="149"/>
      <c r="AH147" s="184"/>
    </row>
    <row r="148" spans="2:34" ht="35.1" customHeight="1" thickTop="1" thickBot="1" x14ac:dyDescent="0.25">
      <c r="B148" s="141"/>
      <c r="C148" s="141"/>
      <c r="D148" s="141"/>
      <c r="E148" s="141"/>
      <c r="F148" s="141"/>
      <c r="G148" s="141"/>
      <c r="H148" s="141"/>
      <c r="I148" s="158"/>
      <c r="J148" s="18" t="s">
        <v>30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e">
        <f t="shared" si="23"/>
        <v>#DIV/0!</v>
      </c>
      <c r="AA148" s="147" t="e">
        <f>AVERAGE(Z148,Z149,Z150,Z153)</f>
        <v>#DIV/0!</v>
      </c>
      <c r="AB148" s="150"/>
      <c r="AC148" s="151"/>
      <c r="AD148" s="151"/>
      <c r="AE148" s="163"/>
      <c r="AF148" s="150"/>
      <c r="AG148" s="150"/>
      <c r="AH148" s="182" t="e">
        <f t="shared" ref="AH148" si="26">(AC148)/AB148</f>
        <v>#DIV/0!</v>
      </c>
    </row>
    <row r="149" spans="2:34" ht="35.1" customHeight="1" thickTop="1" thickBot="1" x14ac:dyDescent="0.25">
      <c r="B149" s="142"/>
      <c r="C149" s="142"/>
      <c r="D149" s="142"/>
      <c r="E149" s="142"/>
      <c r="F149" s="142"/>
      <c r="G149" s="142"/>
      <c r="H149" s="142"/>
      <c r="I149" s="159"/>
      <c r="J149" s="18" t="s">
        <v>29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e">
        <f t="shared" si="23"/>
        <v>#DIV/0!</v>
      </c>
      <c r="AA149" s="148"/>
      <c r="AB149" s="148"/>
      <c r="AC149" s="152"/>
      <c r="AD149" s="152"/>
      <c r="AE149" s="164"/>
      <c r="AF149" s="148"/>
      <c r="AG149" s="148"/>
      <c r="AH149" s="183"/>
    </row>
    <row r="150" spans="2:34" ht="35.1" customHeight="1" thickTop="1" thickBot="1" x14ac:dyDescent="0.25">
      <c r="B150" s="142"/>
      <c r="C150" s="142"/>
      <c r="D150" s="142"/>
      <c r="E150" s="142"/>
      <c r="F150" s="142"/>
      <c r="G150" s="142"/>
      <c r="H150" s="142"/>
      <c r="I150" s="159"/>
      <c r="J150" s="18" t="s">
        <v>28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e">
        <f t="shared" si="23"/>
        <v>#DIV/0!</v>
      </c>
      <c r="AA150" s="148"/>
      <c r="AB150" s="148"/>
      <c r="AC150" s="152"/>
      <c r="AD150" s="152"/>
      <c r="AE150" s="164"/>
      <c r="AF150" s="148"/>
      <c r="AG150" s="148"/>
      <c r="AH150" s="183"/>
    </row>
    <row r="151" spans="2:34" ht="35.1" customHeight="1" thickTop="1" thickBot="1" x14ac:dyDescent="0.25">
      <c r="B151" s="142"/>
      <c r="C151" s="142"/>
      <c r="D151" s="142"/>
      <c r="E151" s="142"/>
      <c r="F151" s="142"/>
      <c r="G151" s="142"/>
      <c r="H151" s="142"/>
      <c r="I151" s="159"/>
      <c r="J151" s="18" t="s">
        <v>27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e">
        <f t="shared" si="23"/>
        <v>#DIV/0!</v>
      </c>
      <c r="AA151" s="148"/>
      <c r="AB151" s="148"/>
      <c r="AC151" s="152"/>
      <c r="AD151" s="152"/>
      <c r="AE151" s="164"/>
      <c r="AF151" s="148"/>
      <c r="AG151" s="148"/>
      <c r="AH151" s="183"/>
    </row>
    <row r="152" spans="2:34" ht="35.1" customHeight="1" thickTop="1" thickBot="1" x14ac:dyDescent="0.25">
      <c r="B152" s="142"/>
      <c r="C152" s="142"/>
      <c r="D152" s="142"/>
      <c r="E152" s="142"/>
      <c r="F152" s="142"/>
      <c r="G152" s="142"/>
      <c r="H152" s="142"/>
      <c r="I152" s="159"/>
      <c r="J152" s="18" t="s">
        <v>26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e">
        <f t="shared" si="23"/>
        <v>#DIV/0!</v>
      </c>
      <c r="AA152" s="148"/>
      <c r="AB152" s="148"/>
      <c r="AC152" s="152"/>
      <c r="AD152" s="152"/>
      <c r="AE152" s="164"/>
      <c r="AF152" s="148"/>
      <c r="AG152" s="148"/>
      <c r="AH152" s="183"/>
    </row>
    <row r="153" spans="2:34" ht="35.1" customHeight="1" thickTop="1" thickBot="1" x14ac:dyDescent="0.25">
      <c r="B153" s="143"/>
      <c r="C153" s="143"/>
      <c r="D153" s="143"/>
      <c r="E153" s="143"/>
      <c r="F153" s="143"/>
      <c r="G153" s="143"/>
      <c r="H153" s="143"/>
      <c r="I153" s="160"/>
      <c r="J153" s="12" t="s">
        <v>25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e">
        <f t="shared" si="23"/>
        <v>#DIV/0!</v>
      </c>
      <c r="AA153" s="149"/>
      <c r="AB153" s="149"/>
      <c r="AC153" s="153"/>
      <c r="AD153" s="153"/>
      <c r="AE153" s="165"/>
      <c r="AF153" s="149"/>
      <c r="AG153" s="149"/>
      <c r="AH153" s="184"/>
    </row>
    <row r="154" spans="2:34" ht="35.1" customHeight="1" thickTop="1" thickBot="1" x14ac:dyDescent="0.25">
      <c r="B154" s="141"/>
      <c r="C154" s="141"/>
      <c r="D154" s="141"/>
      <c r="E154" s="141"/>
      <c r="F154" s="141"/>
      <c r="G154" s="141"/>
      <c r="H154" s="141"/>
      <c r="I154" s="158"/>
      <c r="J154" s="18" t="s">
        <v>30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e">
        <f t="shared" si="23"/>
        <v>#DIV/0!</v>
      </c>
      <c r="AA154" s="147" t="e">
        <f>AVERAGE(Z154,Z155,Z156,Z159)</f>
        <v>#DIV/0!</v>
      </c>
      <c r="AB154" s="150"/>
      <c r="AC154" s="151"/>
      <c r="AD154" s="151"/>
      <c r="AE154" s="163"/>
      <c r="AF154" s="150"/>
      <c r="AG154" s="150"/>
      <c r="AH154" s="182" t="e">
        <f t="shared" ref="AH154" si="27">(AC154)/AB154</f>
        <v>#DIV/0!</v>
      </c>
    </row>
    <row r="155" spans="2:34" ht="35.1" customHeight="1" thickTop="1" thickBot="1" x14ac:dyDescent="0.25">
      <c r="B155" s="142"/>
      <c r="C155" s="142"/>
      <c r="D155" s="142"/>
      <c r="E155" s="142"/>
      <c r="F155" s="142"/>
      <c r="G155" s="142"/>
      <c r="H155" s="142"/>
      <c r="I155" s="159"/>
      <c r="J155" s="18" t="s">
        <v>29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e">
        <f t="shared" si="23"/>
        <v>#DIV/0!</v>
      </c>
      <c r="AA155" s="148"/>
      <c r="AB155" s="148"/>
      <c r="AC155" s="152"/>
      <c r="AD155" s="152"/>
      <c r="AE155" s="164"/>
      <c r="AF155" s="148"/>
      <c r="AG155" s="148"/>
      <c r="AH155" s="183"/>
    </row>
    <row r="156" spans="2:34" ht="35.1" customHeight="1" thickTop="1" thickBot="1" x14ac:dyDescent="0.25">
      <c r="B156" s="142"/>
      <c r="C156" s="142"/>
      <c r="D156" s="142"/>
      <c r="E156" s="142"/>
      <c r="F156" s="142"/>
      <c r="G156" s="142"/>
      <c r="H156" s="142"/>
      <c r="I156" s="159"/>
      <c r="J156" s="18" t="s">
        <v>28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e">
        <f t="shared" si="23"/>
        <v>#DIV/0!</v>
      </c>
      <c r="AA156" s="148"/>
      <c r="AB156" s="148"/>
      <c r="AC156" s="152"/>
      <c r="AD156" s="152"/>
      <c r="AE156" s="164"/>
      <c r="AF156" s="148"/>
      <c r="AG156" s="148"/>
      <c r="AH156" s="183"/>
    </row>
    <row r="157" spans="2:34" ht="35.1" customHeight="1" thickTop="1" thickBot="1" x14ac:dyDescent="0.25">
      <c r="B157" s="142"/>
      <c r="C157" s="142"/>
      <c r="D157" s="142"/>
      <c r="E157" s="142"/>
      <c r="F157" s="142"/>
      <c r="G157" s="142"/>
      <c r="H157" s="142"/>
      <c r="I157" s="159"/>
      <c r="J157" s="18" t="s">
        <v>27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e">
        <f t="shared" si="23"/>
        <v>#DIV/0!</v>
      </c>
      <c r="AA157" s="148"/>
      <c r="AB157" s="148"/>
      <c r="AC157" s="152"/>
      <c r="AD157" s="152"/>
      <c r="AE157" s="164"/>
      <c r="AF157" s="148"/>
      <c r="AG157" s="148"/>
      <c r="AH157" s="183"/>
    </row>
    <row r="158" spans="2:34" ht="35.1" customHeight="1" thickTop="1" thickBot="1" x14ac:dyDescent="0.25">
      <c r="B158" s="142"/>
      <c r="C158" s="142"/>
      <c r="D158" s="142"/>
      <c r="E158" s="142"/>
      <c r="F158" s="142"/>
      <c r="G158" s="142"/>
      <c r="H158" s="142"/>
      <c r="I158" s="159"/>
      <c r="J158" s="18" t="s">
        <v>26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e">
        <f t="shared" si="23"/>
        <v>#DIV/0!</v>
      </c>
      <c r="AA158" s="148"/>
      <c r="AB158" s="148"/>
      <c r="AC158" s="152"/>
      <c r="AD158" s="152"/>
      <c r="AE158" s="164"/>
      <c r="AF158" s="148"/>
      <c r="AG158" s="148"/>
      <c r="AH158" s="183"/>
    </row>
    <row r="159" spans="2:34" ht="35.1" customHeight="1" thickTop="1" thickBot="1" x14ac:dyDescent="0.25">
      <c r="B159" s="143"/>
      <c r="C159" s="143"/>
      <c r="D159" s="143"/>
      <c r="E159" s="143"/>
      <c r="F159" s="143"/>
      <c r="G159" s="143"/>
      <c r="H159" s="143"/>
      <c r="I159" s="160"/>
      <c r="J159" s="12" t="s">
        <v>25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e">
        <f t="shared" si="23"/>
        <v>#DIV/0!</v>
      </c>
      <c r="AA159" s="149"/>
      <c r="AB159" s="149"/>
      <c r="AC159" s="153"/>
      <c r="AD159" s="153"/>
      <c r="AE159" s="165"/>
      <c r="AF159" s="149"/>
      <c r="AG159" s="149"/>
      <c r="AH159" s="184"/>
    </row>
    <row r="160" spans="2:34" ht="35.1" customHeight="1" thickTop="1" thickBot="1" x14ac:dyDescent="0.25">
      <c r="B160" s="141"/>
      <c r="C160" s="141"/>
      <c r="D160" s="141"/>
      <c r="E160" s="141"/>
      <c r="F160" s="141"/>
      <c r="G160" s="141"/>
      <c r="H160" s="141"/>
      <c r="I160" s="158"/>
      <c r="J160" s="18" t="s">
        <v>30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e">
        <f t="shared" si="23"/>
        <v>#DIV/0!</v>
      </c>
      <c r="AA160" s="147" t="e">
        <f>AVERAGE(Z160,Z161,Z162,Z165)</f>
        <v>#DIV/0!</v>
      </c>
      <c r="AB160" s="150"/>
      <c r="AC160" s="151"/>
      <c r="AD160" s="151"/>
      <c r="AE160" s="163"/>
      <c r="AF160" s="150"/>
      <c r="AG160" s="150"/>
      <c r="AH160" s="182" t="e">
        <f t="shared" ref="AH160" si="28">(AC160)/AB160</f>
        <v>#DIV/0!</v>
      </c>
    </row>
    <row r="161" spans="2:34" ht="35.1" customHeight="1" thickTop="1" thickBot="1" x14ac:dyDescent="0.25">
      <c r="B161" s="142"/>
      <c r="C161" s="142"/>
      <c r="D161" s="142"/>
      <c r="E161" s="142"/>
      <c r="F161" s="142"/>
      <c r="G161" s="142"/>
      <c r="H161" s="142"/>
      <c r="I161" s="159"/>
      <c r="J161" s="18" t="s">
        <v>29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e">
        <f t="shared" si="23"/>
        <v>#DIV/0!</v>
      </c>
      <c r="AA161" s="148"/>
      <c r="AB161" s="148"/>
      <c r="AC161" s="152"/>
      <c r="AD161" s="152"/>
      <c r="AE161" s="164"/>
      <c r="AF161" s="148"/>
      <c r="AG161" s="148"/>
      <c r="AH161" s="183"/>
    </row>
    <row r="162" spans="2:34" ht="35.1" customHeight="1" thickTop="1" thickBot="1" x14ac:dyDescent="0.25">
      <c r="B162" s="142"/>
      <c r="C162" s="142"/>
      <c r="D162" s="142"/>
      <c r="E162" s="142"/>
      <c r="F162" s="142"/>
      <c r="G162" s="142"/>
      <c r="H162" s="142"/>
      <c r="I162" s="159"/>
      <c r="J162" s="18" t="s">
        <v>28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e">
        <f t="shared" si="23"/>
        <v>#DIV/0!</v>
      </c>
      <c r="AA162" s="148"/>
      <c r="AB162" s="148"/>
      <c r="AC162" s="152"/>
      <c r="AD162" s="152"/>
      <c r="AE162" s="164"/>
      <c r="AF162" s="148"/>
      <c r="AG162" s="148"/>
      <c r="AH162" s="183"/>
    </row>
    <row r="163" spans="2:34" ht="35.1" customHeight="1" thickTop="1" thickBot="1" x14ac:dyDescent="0.25">
      <c r="B163" s="142"/>
      <c r="C163" s="142"/>
      <c r="D163" s="142"/>
      <c r="E163" s="142"/>
      <c r="F163" s="142"/>
      <c r="G163" s="142"/>
      <c r="H163" s="142"/>
      <c r="I163" s="159"/>
      <c r="J163" s="18" t="s">
        <v>27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e">
        <f t="shared" si="23"/>
        <v>#DIV/0!</v>
      </c>
      <c r="AA163" s="148"/>
      <c r="AB163" s="148"/>
      <c r="AC163" s="152"/>
      <c r="AD163" s="152"/>
      <c r="AE163" s="164"/>
      <c r="AF163" s="148"/>
      <c r="AG163" s="148"/>
      <c r="AH163" s="183"/>
    </row>
    <row r="164" spans="2:34" ht="35.1" customHeight="1" thickTop="1" thickBot="1" x14ac:dyDescent="0.25">
      <c r="B164" s="142"/>
      <c r="C164" s="142"/>
      <c r="D164" s="142"/>
      <c r="E164" s="142"/>
      <c r="F164" s="142"/>
      <c r="G164" s="142"/>
      <c r="H164" s="142"/>
      <c r="I164" s="159"/>
      <c r="J164" s="18" t="s">
        <v>26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e">
        <f t="shared" si="23"/>
        <v>#DIV/0!</v>
      </c>
      <c r="AA164" s="148"/>
      <c r="AB164" s="148"/>
      <c r="AC164" s="152"/>
      <c r="AD164" s="152"/>
      <c r="AE164" s="164"/>
      <c r="AF164" s="148"/>
      <c r="AG164" s="148"/>
      <c r="AH164" s="183"/>
    </row>
    <row r="165" spans="2:34" ht="35.1" customHeight="1" thickTop="1" thickBot="1" x14ac:dyDescent="0.25">
      <c r="B165" s="143"/>
      <c r="C165" s="143"/>
      <c r="D165" s="143"/>
      <c r="E165" s="143"/>
      <c r="F165" s="143"/>
      <c r="G165" s="143"/>
      <c r="H165" s="143"/>
      <c r="I165" s="160"/>
      <c r="J165" s="12" t="s">
        <v>25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e">
        <f t="shared" si="23"/>
        <v>#DIV/0!</v>
      </c>
      <c r="AA165" s="149"/>
      <c r="AB165" s="149"/>
      <c r="AC165" s="153"/>
      <c r="AD165" s="153"/>
      <c r="AE165" s="165"/>
      <c r="AF165" s="149"/>
      <c r="AG165" s="149"/>
      <c r="AH165" s="184"/>
    </row>
    <row r="166" spans="2:34" ht="35.1" customHeight="1" thickTop="1" thickBot="1" x14ac:dyDescent="0.25">
      <c r="B166" s="141"/>
      <c r="C166" s="141"/>
      <c r="D166" s="141"/>
      <c r="E166" s="141"/>
      <c r="F166" s="141"/>
      <c r="G166" s="141"/>
      <c r="H166" s="141"/>
      <c r="I166" s="158"/>
      <c r="J166" s="18" t="s">
        <v>30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e">
        <f t="shared" si="23"/>
        <v>#DIV/0!</v>
      </c>
      <c r="AA166" s="147" t="e">
        <f>AVERAGE(Z166,Z167,Z168,Z171)</f>
        <v>#DIV/0!</v>
      </c>
      <c r="AB166" s="150"/>
      <c r="AC166" s="151"/>
      <c r="AD166" s="151"/>
      <c r="AE166" s="163"/>
      <c r="AF166" s="150"/>
      <c r="AG166" s="150"/>
      <c r="AH166" s="182" t="e">
        <f t="shared" ref="AH166" si="29">(AC166)/AB166</f>
        <v>#DIV/0!</v>
      </c>
    </row>
    <row r="167" spans="2:34" ht="35.1" customHeight="1" thickTop="1" thickBot="1" x14ac:dyDescent="0.25">
      <c r="B167" s="142"/>
      <c r="C167" s="142"/>
      <c r="D167" s="142"/>
      <c r="E167" s="142"/>
      <c r="F167" s="142"/>
      <c r="G167" s="142"/>
      <c r="H167" s="142"/>
      <c r="I167" s="159"/>
      <c r="J167" s="18" t="s">
        <v>29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e">
        <f t="shared" si="23"/>
        <v>#DIV/0!</v>
      </c>
      <c r="AA167" s="148"/>
      <c r="AB167" s="148"/>
      <c r="AC167" s="152"/>
      <c r="AD167" s="152"/>
      <c r="AE167" s="164"/>
      <c r="AF167" s="148"/>
      <c r="AG167" s="148"/>
      <c r="AH167" s="183"/>
    </row>
    <row r="168" spans="2:34" ht="35.1" customHeight="1" thickTop="1" thickBot="1" x14ac:dyDescent="0.25">
      <c r="B168" s="142"/>
      <c r="C168" s="142"/>
      <c r="D168" s="142"/>
      <c r="E168" s="142"/>
      <c r="F168" s="142"/>
      <c r="G168" s="142"/>
      <c r="H168" s="142"/>
      <c r="I168" s="159"/>
      <c r="J168" s="18" t="s">
        <v>28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e">
        <f t="shared" si="23"/>
        <v>#DIV/0!</v>
      </c>
      <c r="AA168" s="148"/>
      <c r="AB168" s="148"/>
      <c r="AC168" s="152"/>
      <c r="AD168" s="152"/>
      <c r="AE168" s="164"/>
      <c r="AF168" s="148"/>
      <c r="AG168" s="148"/>
      <c r="AH168" s="183"/>
    </row>
    <row r="169" spans="2:34" ht="35.1" customHeight="1" thickTop="1" thickBot="1" x14ac:dyDescent="0.25">
      <c r="B169" s="142"/>
      <c r="C169" s="142"/>
      <c r="D169" s="142"/>
      <c r="E169" s="142"/>
      <c r="F169" s="142"/>
      <c r="G169" s="142"/>
      <c r="H169" s="142"/>
      <c r="I169" s="159"/>
      <c r="J169" s="18" t="s">
        <v>27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e">
        <f t="shared" si="23"/>
        <v>#DIV/0!</v>
      </c>
      <c r="AA169" s="148"/>
      <c r="AB169" s="148"/>
      <c r="AC169" s="152"/>
      <c r="AD169" s="152"/>
      <c r="AE169" s="164"/>
      <c r="AF169" s="148"/>
      <c r="AG169" s="148"/>
      <c r="AH169" s="183"/>
    </row>
    <row r="170" spans="2:34" ht="35.1" customHeight="1" thickTop="1" thickBot="1" x14ac:dyDescent="0.25">
      <c r="B170" s="142"/>
      <c r="C170" s="142"/>
      <c r="D170" s="142"/>
      <c r="E170" s="142"/>
      <c r="F170" s="142"/>
      <c r="G170" s="142"/>
      <c r="H170" s="142"/>
      <c r="I170" s="159"/>
      <c r="J170" s="18" t="s">
        <v>26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e">
        <f t="shared" si="23"/>
        <v>#DIV/0!</v>
      </c>
      <c r="AA170" s="148"/>
      <c r="AB170" s="148"/>
      <c r="AC170" s="152"/>
      <c r="AD170" s="152"/>
      <c r="AE170" s="164"/>
      <c r="AF170" s="148"/>
      <c r="AG170" s="148"/>
      <c r="AH170" s="183"/>
    </row>
    <row r="171" spans="2:34" ht="35.1" customHeight="1" thickTop="1" thickBot="1" x14ac:dyDescent="0.25">
      <c r="B171" s="143"/>
      <c r="C171" s="143"/>
      <c r="D171" s="143"/>
      <c r="E171" s="143"/>
      <c r="F171" s="143"/>
      <c r="G171" s="143"/>
      <c r="H171" s="143"/>
      <c r="I171" s="160"/>
      <c r="J171" s="12" t="s">
        <v>25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e">
        <f t="shared" si="23"/>
        <v>#DIV/0!</v>
      </c>
      <c r="AA171" s="149"/>
      <c r="AB171" s="149"/>
      <c r="AC171" s="153"/>
      <c r="AD171" s="153"/>
      <c r="AE171" s="165"/>
      <c r="AF171" s="149"/>
      <c r="AG171" s="149"/>
      <c r="AH171" s="184"/>
    </row>
    <row r="172" spans="2:34" ht="35.1" customHeight="1" thickTop="1" thickBot="1" x14ac:dyDescent="0.25">
      <c r="B172" s="141"/>
      <c r="C172" s="141"/>
      <c r="D172" s="141"/>
      <c r="E172" s="141"/>
      <c r="F172" s="141"/>
      <c r="G172" s="141"/>
      <c r="H172" s="141"/>
      <c r="I172" s="158"/>
      <c r="J172" s="18" t="s">
        <v>30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e">
        <f t="shared" si="23"/>
        <v>#DIV/0!</v>
      </c>
      <c r="AA172" s="147" t="e">
        <f>AVERAGE(Z172,Z173,Z174,Z177)</f>
        <v>#DIV/0!</v>
      </c>
      <c r="AB172" s="150"/>
      <c r="AC172" s="151"/>
      <c r="AD172" s="151"/>
      <c r="AE172" s="163"/>
      <c r="AF172" s="150"/>
      <c r="AG172" s="150"/>
      <c r="AH172" s="182" t="e">
        <f t="shared" ref="AH172" si="30">(AC172)/AB172</f>
        <v>#DIV/0!</v>
      </c>
    </row>
    <row r="173" spans="2:34" ht="35.1" customHeight="1" thickTop="1" thickBot="1" x14ac:dyDescent="0.25">
      <c r="B173" s="142"/>
      <c r="C173" s="142"/>
      <c r="D173" s="142"/>
      <c r="E173" s="142"/>
      <c r="F173" s="142"/>
      <c r="G173" s="142"/>
      <c r="H173" s="142"/>
      <c r="I173" s="159"/>
      <c r="J173" s="18" t="s">
        <v>29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e">
        <f t="shared" si="23"/>
        <v>#DIV/0!</v>
      </c>
      <c r="AA173" s="148"/>
      <c r="AB173" s="148"/>
      <c r="AC173" s="152"/>
      <c r="AD173" s="152"/>
      <c r="AE173" s="164"/>
      <c r="AF173" s="148"/>
      <c r="AG173" s="148"/>
      <c r="AH173" s="183"/>
    </row>
    <row r="174" spans="2:34" ht="35.1" customHeight="1" thickTop="1" thickBot="1" x14ac:dyDescent="0.25">
      <c r="B174" s="142"/>
      <c r="C174" s="142"/>
      <c r="D174" s="142"/>
      <c r="E174" s="142"/>
      <c r="F174" s="142"/>
      <c r="G174" s="142"/>
      <c r="H174" s="142"/>
      <c r="I174" s="159"/>
      <c r="J174" s="18" t="s">
        <v>28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e">
        <f t="shared" si="23"/>
        <v>#DIV/0!</v>
      </c>
      <c r="AA174" s="148"/>
      <c r="AB174" s="148"/>
      <c r="AC174" s="152"/>
      <c r="AD174" s="152"/>
      <c r="AE174" s="164"/>
      <c r="AF174" s="148"/>
      <c r="AG174" s="148"/>
      <c r="AH174" s="183"/>
    </row>
    <row r="175" spans="2:34" ht="35.1" customHeight="1" thickTop="1" thickBot="1" x14ac:dyDescent="0.25">
      <c r="B175" s="142"/>
      <c r="C175" s="142"/>
      <c r="D175" s="142"/>
      <c r="E175" s="142"/>
      <c r="F175" s="142"/>
      <c r="G175" s="142"/>
      <c r="H175" s="142"/>
      <c r="I175" s="159"/>
      <c r="J175" s="18" t="s">
        <v>27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e">
        <f t="shared" si="23"/>
        <v>#DIV/0!</v>
      </c>
      <c r="AA175" s="148"/>
      <c r="AB175" s="148"/>
      <c r="AC175" s="152"/>
      <c r="AD175" s="152"/>
      <c r="AE175" s="164"/>
      <c r="AF175" s="148"/>
      <c r="AG175" s="148"/>
      <c r="AH175" s="183"/>
    </row>
    <row r="176" spans="2:34" ht="35.1" customHeight="1" thickTop="1" thickBot="1" x14ac:dyDescent="0.25">
      <c r="B176" s="142"/>
      <c r="C176" s="142"/>
      <c r="D176" s="142"/>
      <c r="E176" s="142"/>
      <c r="F176" s="142"/>
      <c r="G176" s="142"/>
      <c r="H176" s="142"/>
      <c r="I176" s="159"/>
      <c r="J176" s="18" t="s">
        <v>26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e">
        <f t="shared" si="23"/>
        <v>#DIV/0!</v>
      </c>
      <c r="AA176" s="148"/>
      <c r="AB176" s="148"/>
      <c r="AC176" s="152"/>
      <c r="AD176" s="152"/>
      <c r="AE176" s="164"/>
      <c r="AF176" s="148"/>
      <c r="AG176" s="148"/>
      <c r="AH176" s="183"/>
    </row>
    <row r="177" spans="2:34" ht="35.1" customHeight="1" thickTop="1" thickBot="1" x14ac:dyDescent="0.25">
      <c r="B177" s="143"/>
      <c r="C177" s="143"/>
      <c r="D177" s="143"/>
      <c r="E177" s="143"/>
      <c r="F177" s="143"/>
      <c r="G177" s="143"/>
      <c r="H177" s="143"/>
      <c r="I177" s="160"/>
      <c r="J177" s="12" t="s">
        <v>25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e">
        <f t="shared" si="23"/>
        <v>#DIV/0!</v>
      </c>
      <c r="AA177" s="149"/>
      <c r="AB177" s="149"/>
      <c r="AC177" s="153"/>
      <c r="AD177" s="153"/>
      <c r="AE177" s="165"/>
      <c r="AF177" s="149"/>
      <c r="AG177" s="149"/>
      <c r="AH177" s="184"/>
    </row>
    <row r="178" spans="2:34" ht="35.1" customHeight="1" thickTop="1" thickBot="1" x14ac:dyDescent="0.25">
      <c r="B178" s="141"/>
      <c r="C178" s="141"/>
      <c r="D178" s="141"/>
      <c r="E178" s="141"/>
      <c r="F178" s="141"/>
      <c r="G178" s="141"/>
      <c r="H178" s="141"/>
      <c r="I178" s="158"/>
      <c r="J178" s="18" t="s">
        <v>30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e">
        <f t="shared" si="23"/>
        <v>#DIV/0!</v>
      </c>
      <c r="AA178" s="147" t="e">
        <f>AVERAGE(Z178,Z179,Z180,Z183)</f>
        <v>#DIV/0!</v>
      </c>
      <c r="AB178" s="150"/>
      <c r="AC178" s="151"/>
      <c r="AD178" s="151"/>
      <c r="AE178" s="163"/>
      <c r="AF178" s="150"/>
      <c r="AG178" s="150"/>
      <c r="AH178" s="182" t="e">
        <f t="shared" ref="AH178" si="31">(AC178)/AB178</f>
        <v>#DIV/0!</v>
      </c>
    </row>
    <row r="179" spans="2:34" ht="35.1" customHeight="1" thickTop="1" thickBot="1" x14ac:dyDescent="0.25">
      <c r="B179" s="142"/>
      <c r="C179" s="142"/>
      <c r="D179" s="142"/>
      <c r="E179" s="142"/>
      <c r="F179" s="142"/>
      <c r="G179" s="142"/>
      <c r="H179" s="142"/>
      <c r="I179" s="159"/>
      <c r="J179" s="18" t="s">
        <v>29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e">
        <f t="shared" si="23"/>
        <v>#DIV/0!</v>
      </c>
      <c r="AA179" s="148"/>
      <c r="AB179" s="148"/>
      <c r="AC179" s="152"/>
      <c r="AD179" s="152"/>
      <c r="AE179" s="164"/>
      <c r="AF179" s="148"/>
      <c r="AG179" s="148"/>
      <c r="AH179" s="183"/>
    </row>
    <row r="180" spans="2:34" ht="35.1" customHeight="1" thickTop="1" thickBot="1" x14ac:dyDescent="0.25">
      <c r="B180" s="142"/>
      <c r="C180" s="142"/>
      <c r="D180" s="142"/>
      <c r="E180" s="142"/>
      <c r="F180" s="142"/>
      <c r="G180" s="142"/>
      <c r="H180" s="142"/>
      <c r="I180" s="159"/>
      <c r="J180" s="18" t="s">
        <v>28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e">
        <f t="shared" si="23"/>
        <v>#DIV/0!</v>
      </c>
      <c r="AA180" s="148"/>
      <c r="AB180" s="148"/>
      <c r="AC180" s="152"/>
      <c r="AD180" s="152"/>
      <c r="AE180" s="164"/>
      <c r="AF180" s="148"/>
      <c r="AG180" s="148"/>
      <c r="AH180" s="183"/>
    </row>
    <row r="181" spans="2:34" ht="35.1" customHeight="1" thickTop="1" thickBot="1" x14ac:dyDescent="0.25">
      <c r="B181" s="142"/>
      <c r="C181" s="142"/>
      <c r="D181" s="142"/>
      <c r="E181" s="142"/>
      <c r="F181" s="142"/>
      <c r="G181" s="142"/>
      <c r="H181" s="142"/>
      <c r="I181" s="159"/>
      <c r="J181" s="18" t="s">
        <v>27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e">
        <f t="shared" si="23"/>
        <v>#DIV/0!</v>
      </c>
      <c r="AA181" s="148"/>
      <c r="AB181" s="148"/>
      <c r="AC181" s="152"/>
      <c r="AD181" s="152"/>
      <c r="AE181" s="164"/>
      <c r="AF181" s="148"/>
      <c r="AG181" s="148"/>
      <c r="AH181" s="183"/>
    </row>
    <row r="182" spans="2:34" ht="35.1" customHeight="1" thickTop="1" thickBot="1" x14ac:dyDescent="0.25">
      <c r="B182" s="142"/>
      <c r="C182" s="142"/>
      <c r="D182" s="142"/>
      <c r="E182" s="142"/>
      <c r="F182" s="142"/>
      <c r="G182" s="142"/>
      <c r="H182" s="142"/>
      <c r="I182" s="159"/>
      <c r="J182" s="18" t="s">
        <v>26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e">
        <f t="shared" si="23"/>
        <v>#DIV/0!</v>
      </c>
      <c r="AA182" s="148"/>
      <c r="AB182" s="148"/>
      <c r="AC182" s="152"/>
      <c r="AD182" s="152"/>
      <c r="AE182" s="164"/>
      <c r="AF182" s="148"/>
      <c r="AG182" s="148"/>
      <c r="AH182" s="183"/>
    </row>
    <row r="183" spans="2:34" ht="35.1" customHeight="1" thickTop="1" thickBot="1" x14ac:dyDescent="0.25">
      <c r="B183" s="143"/>
      <c r="C183" s="143"/>
      <c r="D183" s="143"/>
      <c r="E183" s="143"/>
      <c r="F183" s="143"/>
      <c r="G183" s="143"/>
      <c r="H183" s="143"/>
      <c r="I183" s="160"/>
      <c r="J183" s="12" t="s">
        <v>25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e">
        <f t="shared" si="23"/>
        <v>#DIV/0!</v>
      </c>
      <c r="AA183" s="149"/>
      <c r="AB183" s="149"/>
      <c r="AC183" s="153"/>
      <c r="AD183" s="153"/>
      <c r="AE183" s="165"/>
      <c r="AF183" s="149"/>
      <c r="AG183" s="149"/>
      <c r="AH183" s="184"/>
    </row>
    <row r="184" spans="2:34" ht="35.1" customHeight="1" thickTop="1" thickBot="1" x14ac:dyDescent="0.25">
      <c r="B184" s="141"/>
      <c r="C184" s="141"/>
      <c r="D184" s="141"/>
      <c r="E184" s="141"/>
      <c r="F184" s="141"/>
      <c r="G184" s="141"/>
      <c r="H184" s="141"/>
      <c r="I184" s="158"/>
      <c r="J184" s="18" t="s">
        <v>30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e">
        <f t="shared" si="23"/>
        <v>#DIV/0!</v>
      </c>
      <c r="AA184" s="147" t="e">
        <f>AVERAGE(Z184,Z185,Z186,Z189)</f>
        <v>#DIV/0!</v>
      </c>
      <c r="AB184" s="150"/>
      <c r="AC184" s="151"/>
      <c r="AD184" s="151"/>
      <c r="AE184" s="163"/>
      <c r="AF184" s="150"/>
      <c r="AG184" s="150"/>
      <c r="AH184" s="182" t="e">
        <f t="shared" ref="AH184" si="32">(AC184)/AB184</f>
        <v>#DIV/0!</v>
      </c>
    </row>
    <row r="185" spans="2:34" ht="35.1" customHeight="1" thickTop="1" thickBot="1" x14ac:dyDescent="0.25">
      <c r="B185" s="142"/>
      <c r="C185" s="142"/>
      <c r="D185" s="142"/>
      <c r="E185" s="142"/>
      <c r="F185" s="142"/>
      <c r="G185" s="142"/>
      <c r="H185" s="142"/>
      <c r="I185" s="159"/>
      <c r="J185" s="18" t="s">
        <v>29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e">
        <f t="shared" si="23"/>
        <v>#DIV/0!</v>
      </c>
      <c r="AA185" s="148"/>
      <c r="AB185" s="148"/>
      <c r="AC185" s="152"/>
      <c r="AD185" s="152"/>
      <c r="AE185" s="164"/>
      <c r="AF185" s="148"/>
      <c r="AG185" s="148"/>
      <c r="AH185" s="183"/>
    </row>
    <row r="186" spans="2:34" ht="35.1" customHeight="1" thickTop="1" thickBot="1" x14ac:dyDescent="0.25">
      <c r="B186" s="142"/>
      <c r="C186" s="142"/>
      <c r="D186" s="142"/>
      <c r="E186" s="142"/>
      <c r="F186" s="142"/>
      <c r="G186" s="142"/>
      <c r="H186" s="142"/>
      <c r="I186" s="159"/>
      <c r="J186" s="18" t="s">
        <v>28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e">
        <f t="shared" si="23"/>
        <v>#DIV/0!</v>
      </c>
      <c r="AA186" s="148"/>
      <c r="AB186" s="148"/>
      <c r="AC186" s="152"/>
      <c r="AD186" s="152"/>
      <c r="AE186" s="164"/>
      <c r="AF186" s="148"/>
      <c r="AG186" s="148"/>
      <c r="AH186" s="183"/>
    </row>
    <row r="187" spans="2:34" ht="35.1" customHeight="1" thickTop="1" thickBot="1" x14ac:dyDescent="0.25">
      <c r="B187" s="142"/>
      <c r="C187" s="142"/>
      <c r="D187" s="142"/>
      <c r="E187" s="142"/>
      <c r="F187" s="142"/>
      <c r="G187" s="142"/>
      <c r="H187" s="142"/>
      <c r="I187" s="159"/>
      <c r="J187" s="18" t="s">
        <v>27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e">
        <f t="shared" si="23"/>
        <v>#DIV/0!</v>
      </c>
      <c r="AA187" s="148"/>
      <c r="AB187" s="148"/>
      <c r="AC187" s="152"/>
      <c r="AD187" s="152"/>
      <c r="AE187" s="164"/>
      <c r="AF187" s="148"/>
      <c r="AG187" s="148"/>
      <c r="AH187" s="183"/>
    </row>
    <row r="188" spans="2:34" ht="35.1" customHeight="1" thickTop="1" thickBot="1" x14ac:dyDescent="0.25">
      <c r="B188" s="142"/>
      <c r="C188" s="142"/>
      <c r="D188" s="142"/>
      <c r="E188" s="142"/>
      <c r="F188" s="142"/>
      <c r="G188" s="142"/>
      <c r="H188" s="142"/>
      <c r="I188" s="159"/>
      <c r="J188" s="18" t="s">
        <v>26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e">
        <f t="shared" si="23"/>
        <v>#DIV/0!</v>
      </c>
      <c r="AA188" s="148"/>
      <c r="AB188" s="148"/>
      <c r="AC188" s="152"/>
      <c r="AD188" s="152"/>
      <c r="AE188" s="164"/>
      <c r="AF188" s="148"/>
      <c r="AG188" s="148"/>
      <c r="AH188" s="183"/>
    </row>
    <row r="189" spans="2:34" ht="35.1" customHeight="1" thickTop="1" thickBot="1" x14ac:dyDescent="0.25">
      <c r="B189" s="143"/>
      <c r="C189" s="143"/>
      <c r="D189" s="143"/>
      <c r="E189" s="143"/>
      <c r="F189" s="143"/>
      <c r="G189" s="143"/>
      <c r="H189" s="143"/>
      <c r="I189" s="160"/>
      <c r="J189" s="12" t="s">
        <v>25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e">
        <f t="shared" si="23"/>
        <v>#DIV/0!</v>
      </c>
      <c r="AA189" s="149"/>
      <c r="AB189" s="149"/>
      <c r="AC189" s="153"/>
      <c r="AD189" s="153"/>
      <c r="AE189" s="165"/>
      <c r="AF189" s="149"/>
      <c r="AG189" s="149"/>
      <c r="AH189" s="184"/>
    </row>
    <row r="190" spans="2:34" ht="35.1" customHeight="1" thickTop="1" thickBot="1" x14ac:dyDescent="0.25">
      <c r="B190" s="141"/>
      <c r="C190" s="141"/>
      <c r="D190" s="141"/>
      <c r="E190" s="141"/>
      <c r="F190" s="141"/>
      <c r="G190" s="141"/>
      <c r="H190" s="141"/>
      <c r="I190" s="158"/>
      <c r="J190" s="18" t="s">
        <v>30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e">
        <f t="shared" si="23"/>
        <v>#DIV/0!</v>
      </c>
      <c r="AA190" s="147" t="e">
        <f>AVERAGE(Z190,Z191,Z192,Z195)</f>
        <v>#DIV/0!</v>
      </c>
      <c r="AB190" s="150"/>
      <c r="AC190" s="151"/>
      <c r="AD190" s="151"/>
      <c r="AE190" s="163"/>
      <c r="AF190" s="150"/>
      <c r="AG190" s="150"/>
      <c r="AH190" s="182" t="e">
        <f t="shared" ref="AH190" si="33">(AC190)/AB190</f>
        <v>#DIV/0!</v>
      </c>
    </row>
    <row r="191" spans="2:34" ht="35.1" customHeight="1" thickTop="1" thickBot="1" x14ac:dyDescent="0.25">
      <c r="B191" s="142"/>
      <c r="C191" s="142"/>
      <c r="D191" s="142"/>
      <c r="E191" s="142"/>
      <c r="F191" s="142"/>
      <c r="G191" s="142"/>
      <c r="H191" s="142"/>
      <c r="I191" s="159"/>
      <c r="J191" s="18" t="s">
        <v>29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e">
        <f t="shared" si="23"/>
        <v>#DIV/0!</v>
      </c>
      <c r="AA191" s="148"/>
      <c r="AB191" s="148"/>
      <c r="AC191" s="152"/>
      <c r="AD191" s="152"/>
      <c r="AE191" s="164"/>
      <c r="AF191" s="148"/>
      <c r="AG191" s="148"/>
      <c r="AH191" s="183"/>
    </row>
    <row r="192" spans="2:34" ht="35.1" customHeight="1" thickTop="1" thickBot="1" x14ac:dyDescent="0.25">
      <c r="B192" s="142"/>
      <c r="C192" s="142"/>
      <c r="D192" s="142"/>
      <c r="E192" s="142"/>
      <c r="F192" s="142"/>
      <c r="G192" s="142"/>
      <c r="H192" s="142"/>
      <c r="I192" s="159"/>
      <c r="J192" s="18" t="s">
        <v>28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e">
        <f t="shared" si="23"/>
        <v>#DIV/0!</v>
      </c>
      <c r="AA192" s="148"/>
      <c r="AB192" s="148"/>
      <c r="AC192" s="152"/>
      <c r="AD192" s="152"/>
      <c r="AE192" s="164"/>
      <c r="AF192" s="148"/>
      <c r="AG192" s="148"/>
      <c r="AH192" s="183"/>
    </row>
    <row r="193" spans="2:34" ht="35.1" customHeight="1" thickTop="1" thickBot="1" x14ac:dyDescent="0.25">
      <c r="B193" s="142"/>
      <c r="C193" s="142"/>
      <c r="D193" s="142"/>
      <c r="E193" s="142"/>
      <c r="F193" s="142"/>
      <c r="G193" s="142"/>
      <c r="H193" s="142"/>
      <c r="I193" s="159"/>
      <c r="J193" s="18" t="s">
        <v>27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e">
        <f t="shared" si="23"/>
        <v>#DIV/0!</v>
      </c>
      <c r="AA193" s="148"/>
      <c r="AB193" s="148"/>
      <c r="AC193" s="152"/>
      <c r="AD193" s="152"/>
      <c r="AE193" s="164"/>
      <c r="AF193" s="148"/>
      <c r="AG193" s="148"/>
      <c r="AH193" s="183"/>
    </row>
    <row r="194" spans="2:34" ht="35.1" customHeight="1" thickTop="1" thickBot="1" x14ac:dyDescent="0.25">
      <c r="B194" s="142"/>
      <c r="C194" s="142"/>
      <c r="D194" s="142"/>
      <c r="E194" s="142"/>
      <c r="F194" s="142"/>
      <c r="G194" s="142"/>
      <c r="H194" s="142"/>
      <c r="I194" s="159"/>
      <c r="J194" s="18" t="s">
        <v>26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e">
        <f t="shared" si="23"/>
        <v>#DIV/0!</v>
      </c>
      <c r="AA194" s="148"/>
      <c r="AB194" s="148"/>
      <c r="AC194" s="152"/>
      <c r="AD194" s="152"/>
      <c r="AE194" s="164"/>
      <c r="AF194" s="148"/>
      <c r="AG194" s="148"/>
      <c r="AH194" s="183"/>
    </row>
    <row r="195" spans="2:34" ht="35.1" customHeight="1" thickTop="1" thickBot="1" x14ac:dyDescent="0.25">
      <c r="B195" s="143"/>
      <c r="C195" s="143"/>
      <c r="D195" s="143"/>
      <c r="E195" s="143"/>
      <c r="F195" s="143"/>
      <c r="G195" s="143"/>
      <c r="H195" s="143"/>
      <c r="I195" s="160"/>
      <c r="J195" s="12" t="s">
        <v>25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e">
        <f t="shared" si="23"/>
        <v>#DIV/0!</v>
      </c>
      <c r="AA195" s="149"/>
      <c r="AB195" s="149"/>
      <c r="AC195" s="153"/>
      <c r="AD195" s="153"/>
      <c r="AE195" s="165"/>
      <c r="AF195" s="149"/>
      <c r="AG195" s="149"/>
      <c r="AH195" s="184"/>
    </row>
    <row r="196" spans="2:34" ht="35.1" customHeight="1" thickTop="1" thickBot="1" x14ac:dyDescent="0.25">
      <c r="B196" s="141"/>
      <c r="C196" s="141"/>
      <c r="D196" s="141"/>
      <c r="E196" s="141"/>
      <c r="F196" s="141"/>
      <c r="G196" s="141"/>
      <c r="H196" s="141"/>
      <c r="I196" s="158"/>
      <c r="J196" s="18" t="s">
        <v>30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e">
        <f t="shared" ref="Z196:Z259" si="34">(L196)/K196</f>
        <v>#DIV/0!</v>
      </c>
      <c r="AA196" s="147" t="e">
        <f>AVERAGE(Z196,Z197,Z198,Z201)</f>
        <v>#DIV/0!</v>
      </c>
      <c r="AB196" s="150"/>
      <c r="AC196" s="151"/>
      <c r="AD196" s="151"/>
      <c r="AE196" s="163"/>
      <c r="AF196" s="150"/>
      <c r="AG196" s="150"/>
      <c r="AH196" s="182" t="e">
        <f t="shared" ref="AH196" si="35">(AC196)/AB196</f>
        <v>#DIV/0!</v>
      </c>
    </row>
    <row r="197" spans="2:34" ht="35.1" customHeight="1" thickTop="1" thickBot="1" x14ac:dyDescent="0.25">
      <c r="B197" s="142"/>
      <c r="C197" s="142"/>
      <c r="D197" s="142"/>
      <c r="E197" s="142"/>
      <c r="F197" s="142"/>
      <c r="G197" s="142"/>
      <c r="H197" s="142"/>
      <c r="I197" s="159"/>
      <c r="J197" s="18" t="s">
        <v>29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e">
        <f t="shared" si="34"/>
        <v>#DIV/0!</v>
      </c>
      <c r="AA197" s="148"/>
      <c r="AB197" s="148"/>
      <c r="AC197" s="152"/>
      <c r="AD197" s="152"/>
      <c r="AE197" s="164"/>
      <c r="AF197" s="148"/>
      <c r="AG197" s="148"/>
      <c r="AH197" s="183"/>
    </row>
    <row r="198" spans="2:34" ht="35.1" customHeight="1" thickTop="1" thickBot="1" x14ac:dyDescent="0.25">
      <c r="B198" s="142"/>
      <c r="C198" s="142"/>
      <c r="D198" s="142"/>
      <c r="E198" s="142"/>
      <c r="F198" s="142"/>
      <c r="G198" s="142"/>
      <c r="H198" s="142"/>
      <c r="I198" s="159"/>
      <c r="J198" s="18" t="s">
        <v>28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e">
        <f t="shared" si="34"/>
        <v>#DIV/0!</v>
      </c>
      <c r="AA198" s="148"/>
      <c r="AB198" s="148"/>
      <c r="AC198" s="152"/>
      <c r="AD198" s="152"/>
      <c r="AE198" s="164"/>
      <c r="AF198" s="148"/>
      <c r="AG198" s="148"/>
      <c r="AH198" s="183"/>
    </row>
    <row r="199" spans="2:34" ht="35.1" customHeight="1" thickTop="1" thickBot="1" x14ac:dyDescent="0.25">
      <c r="B199" s="142"/>
      <c r="C199" s="142"/>
      <c r="D199" s="142"/>
      <c r="E199" s="142"/>
      <c r="F199" s="142"/>
      <c r="G199" s="142"/>
      <c r="H199" s="142"/>
      <c r="I199" s="159"/>
      <c r="J199" s="18" t="s">
        <v>27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e">
        <f t="shared" si="34"/>
        <v>#DIV/0!</v>
      </c>
      <c r="AA199" s="148"/>
      <c r="AB199" s="148"/>
      <c r="AC199" s="152"/>
      <c r="AD199" s="152"/>
      <c r="AE199" s="164"/>
      <c r="AF199" s="148"/>
      <c r="AG199" s="148"/>
      <c r="AH199" s="183"/>
    </row>
    <row r="200" spans="2:34" ht="35.1" customHeight="1" thickTop="1" thickBot="1" x14ac:dyDescent="0.25">
      <c r="B200" s="142"/>
      <c r="C200" s="142"/>
      <c r="D200" s="142"/>
      <c r="E200" s="142"/>
      <c r="F200" s="142"/>
      <c r="G200" s="142"/>
      <c r="H200" s="142"/>
      <c r="I200" s="159"/>
      <c r="J200" s="18" t="s">
        <v>26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e">
        <f t="shared" si="34"/>
        <v>#DIV/0!</v>
      </c>
      <c r="AA200" s="148"/>
      <c r="AB200" s="148"/>
      <c r="AC200" s="152"/>
      <c r="AD200" s="152"/>
      <c r="AE200" s="164"/>
      <c r="AF200" s="148"/>
      <c r="AG200" s="148"/>
      <c r="AH200" s="183"/>
    </row>
    <row r="201" spans="2:34" ht="35.1" customHeight="1" thickTop="1" thickBot="1" x14ac:dyDescent="0.25">
      <c r="B201" s="143"/>
      <c r="C201" s="143"/>
      <c r="D201" s="143"/>
      <c r="E201" s="143"/>
      <c r="F201" s="143"/>
      <c r="G201" s="143"/>
      <c r="H201" s="143"/>
      <c r="I201" s="160"/>
      <c r="J201" s="12" t="s">
        <v>25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e">
        <f t="shared" si="34"/>
        <v>#DIV/0!</v>
      </c>
      <c r="AA201" s="149"/>
      <c r="AB201" s="149"/>
      <c r="AC201" s="153"/>
      <c r="AD201" s="153"/>
      <c r="AE201" s="165"/>
      <c r="AF201" s="149"/>
      <c r="AG201" s="149"/>
      <c r="AH201" s="184"/>
    </row>
    <row r="202" spans="2:34" ht="35.1" customHeight="1" thickTop="1" thickBot="1" x14ac:dyDescent="0.25">
      <c r="B202" s="141"/>
      <c r="C202" s="141"/>
      <c r="D202" s="141"/>
      <c r="E202" s="141"/>
      <c r="F202" s="141"/>
      <c r="G202" s="141"/>
      <c r="H202" s="141"/>
      <c r="I202" s="158"/>
      <c r="J202" s="18" t="s">
        <v>30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e">
        <f t="shared" si="34"/>
        <v>#DIV/0!</v>
      </c>
      <c r="AA202" s="147" t="e">
        <f>AVERAGE(Z202,Z203,Z204,Z207)</f>
        <v>#DIV/0!</v>
      </c>
      <c r="AB202" s="150"/>
      <c r="AC202" s="151"/>
      <c r="AD202" s="151"/>
      <c r="AE202" s="163"/>
      <c r="AF202" s="150"/>
      <c r="AG202" s="150"/>
      <c r="AH202" s="182" t="e">
        <f t="shared" ref="AH202" si="36">(AC202)/AB202</f>
        <v>#DIV/0!</v>
      </c>
    </row>
    <row r="203" spans="2:34" ht="35.1" customHeight="1" thickTop="1" thickBot="1" x14ac:dyDescent="0.25">
      <c r="B203" s="142"/>
      <c r="C203" s="142"/>
      <c r="D203" s="142"/>
      <c r="E203" s="142"/>
      <c r="F203" s="142"/>
      <c r="G203" s="142"/>
      <c r="H203" s="142"/>
      <c r="I203" s="159"/>
      <c r="J203" s="18" t="s">
        <v>29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e">
        <f t="shared" si="34"/>
        <v>#DIV/0!</v>
      </c>
      <c r="AA203" s="148"/>
      <c r="AB203" s="148"/>
      <c r="AC203" s="152"/>
      <c r="AD203" s="152"/>
      <c r="AE203" s="164"/>
      <c r="AF203" s="148"/>
      <c r="AG203" s="148"/>
      <c r="AH203" s="183"/>
    </row>
    <row r="204" spans="2:34" ht="35.1" customHeight="1" thickTop="1" thickBot="1" x14ac:dyDescent="0.25">
      <c r="B204" s="142"/>
      <c r="C204" s="142"/>
      <c r="D204" s="142"/>
      <c r="E204" s="142"/>
      <c r="F204" s="142"/>
      <c r="G204" s="142"/>
      <c r="H204" s="142"/>
      <c r="I204" s="159"/>
      <c r="J204" s="18" t="s">
        <v>28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e">
        <f t="shared" si="34"/>
        <v>#DIV/0!</v>
      </c>
      <c r="AA204" s="148"/>
      <c r="AB204" s="148"/>
      <c r="AC204" s="152"/>
      <c r="AD204" s="152"/>
      <c r="AE204" s="164"/>
      <c r="AF204" s="148"/>
      <c r="AG204" s="148"/>
      <c r="AH204" s="183"/>
    </row>
    <row r="205" spans="2:34" ht="35.1" customHeight="1" thickTop="1" thickBot="1" x14ac:dyDescent="0.25">
      <c r="B205" s="142"/>
      <c r="C205" s="142"/>
      <c r="D205" s="142"/>
      <c r="E205" s="142"/>
      <c r="F205" s="142"/>
      <c r="G205" s="142"/>
      <c r="H205" s="142"/>
      <c r="I205" s="159"/>
      <c r="J205" s="18" t="s">
        <v>27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e">
        <f t="shared" si="34"/>
        <v>#DIV/0!</v>
      </c>
      <c r="AA205" s="148"/>
      <c r="AB205" s="148"/>
      <c r="AC205" s="152"/>
      <c r="AD205" s="152"/>
      <c r="AE205" s="164"/>
      <c r="AF205" s="148"/>
      <c r="AG205" s="148"/>
      <c r="AH205" s="183"/>
    </row>
    <row r="206" spans="2:34" ht="35.1" customHeight="1" thickTop="1" thickBot="1" x14ac:dyDescent="0.25">
      <c r="B206" s="142"/>
      <c r="C206" s="142"/>
      <c r="D206" s="142"/>
      <c r="E206" s="142"/>
      <c r="F206" s="142"/>
      <c r="G206" s="142"/>
      <c r="H206" s="142"/>
      <c r="I206" s="159"/>
      <c r="J206" s="18" t="s">
        <v>26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e">
        <f t="shared" si="34"/>
        <v>#DIV/0!</v>
      </c>
      <c r="AA206" s="148"/>
      <c r="AB206" s="148"/>
      <c r="AC206" s="152"/>
      <c r="AD206" s="152"/>
      <c r="AE206" s="164"/>
      <c r="AF206" s="148"/>
      <c r="AG206" s="148"/>
      <c r="AH206" s="183"/>
    </row>
    <row r="207" spans="2:34" ht="35.1" customHeight="1" thickTop="1" thickBot="1" x14ac:dyDescent="0.25">
      <c r="B207" s="143"/>
      <c r="C207" s="143"/>
      <c r="D207" s="143"/>
      <c r="E207" s="143"/>
      <c r="F207" s="143"/>
      <c r="G207" s="143"/>
      <c r="H207" s="143"/>
      <c r="I207" s="160"/>
      <c r="J207" s="12" t="s">
        <v>25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e">
        <f t="shared" si="34"/>
        <v>#DIV/0!</v>
      </c>
      <c r="AA207" s="149"/>
      <c r="AB207" s="149"/>
      <c r="AC207" s="153"/>
      <c r="AD207" s="153"/>
      <c r="AE207" s="165"/>
      <c r="AF207" s="149"/>
      <c r="AG207" s="149"/>
      <c r="AH207" s="184"/>
    </row>
    <row r="208" spans="2:34" ht="35.1" customHeight="1" thickTop="1" thickBot="1" x14ac:dyDescent="0.25">
      <c r="B208" s="141"/>
      <c r="C208" s="141"/>
      <c r="D208" s="141"/>
      <c r="E208" s="141"/>
      <c r="F208" s="141"/>
      <c r="G208" s="141"/>
      <c r="H208" s="141"/>
      <c r="I208" s="158"/>
      <c r="J208" s="18" t="s">
        <v>30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e">
        <f t="shared" si="34"/>
        <v>#DIV/0!</v>
      </c>
      <c r="AA208" s="147" t="e">
        <f>AVERAGE(Z208,Z209,Z210,Z213)</f>
        <v>#DIV/0!</v>
      </c>
      <c r="AB208" s="150"/>
      <c r="AC208" s="151"/>
      <c r="AD208" s="151"/>
      <c r="AE208" s="163"/>
      <c r="AF208" s="150"/>
      <c r="AG208" s="150"/>
      <c r="AH208" s="182" t="e">
        <f t="shared" ref="AH208" si="37">(AC208)/AB208</f>
        <v>#DIV/0!</v>
      </c>
    </row>
    <row r="209" spans="2:34" ht="35.1" customHeight="1" thickTop="1" thickBot="1" x14ac:dyDescent="0.25">
      <c r="B209" s="142"/>
      <c r="C209" s="142"/>
      <c r="D209" s="142"/>
      <c r="E209" s="142"/>
      <c r="F209" s="142"/>
      <c r="G209" s="142"/>
      <c r="H209" s="142"/>
      <c r="I209" s="159"/>
      <c r="J209" s="18" t="s">
        <v>29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e">
        <f t="shared" si="34"/>
        <v>#DIV/0!</v>
      </c>
      <c r="AA209" s="148"/>
      <c r="AB209" s="148"/>
      <c r="AC209" s="152"/>
      <c r="AD209" s="152"/>
      <c r="AE209" s="164"/>
      <c r="AF209" s="148"/>
      <c r="AG209" s="148"/>
      <c r="AH209" s="183"/>
    </row>
    <row r="210" spans="2:34" ht="35.1" customHeight="1" thickTop="1" thickBot="1" x14ac:dyDescent="0.25">
      <c r="B210" s="142"/>
      <c r="C210" s="142"/>
      <c r="D210" s="142"/>
      <c r="E210" s="142"/>
      <c r="F210" s="142"/>
      <c r="G210" s="142"/>
      <c r="H210" s="142"/>
      <c r="I210" s="159"/>
      <c r="J210" s="18" t="s">
        <v>28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e">
        <f t="shared" si="34"/>
        <v>#DIV/0!</v>
      </c>
      <c r="AA210" s="148"/>
      <c r="AB210" s="148"/>
      <c r="AC210" s="152"/>
      <c r="AD210" s="152"/>
      <c r="AE210" s="164"/>
      <c r="AF210" s="148"/>
      <c r="AG210" s="148"/>
      <c r="AH210" s="183"/>
    </row>
    <row r="211" spans="2:34" ht="35.1" customHeight="1" thickTop="1" thickBot="1" x14ac:dyDescent="0.25">
      <c r="B211" s="142"/>
      <c r="C211" s="142"/>
      <c r="D211" s="142"/>
      <c r="E211" s="142"/>
      <c r="F211" s="142"/>
      <c r="G211" s="142"/>
      <c r="H211" s="142"/>
      <c r="I211" s="159"/>
      <c r="J211" s="18" t="s">
        <v>27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e">
        <f t="shared" si="34"/>
        <v>#DIV/0!</v>
      </c>
      <c r="AA211" s="148"/>
      <c r="AB211" s="148"/>
      <c r="AC211" s="152"/>
      <c r="AD211" s="152"/>
      <c r="AE211" s="164"/>
      <c r="AF211" s="148"/>
      <c r="AG211" s="148"/>
      <c r="AH211" s="183"/>
    </row>
    <row r="212" spans="2:34" ht="35.1" customHeight="1" thickTop="1" thickBot="1" x14ac:dyDescent="0.25">
      <c r="B212" s="142"/>
      <c r="C212" s="142"/>
      <c r="D212" s="142"/>
      <c r="E212" s="142"/>
      <c r="F212" s="142"/>
      <c r="G212" s="142"/>
      <c r="H212" s="142"/>
      <c r="I212" s="159"/>
      <c r="J212" s="18" t="s">
        <v>26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e">
        <f t="shared" si="34"/>
        <v>#DIV/0!</v>
      </c>
      <c r="AA212" s="148"/>
      <c r="AB212" s="148"/>
      <c r="AC212" s="152"/>
      <c r="AD212" s="152"/>
      <c r="AE212" s="164"/>
      <c r="AF212" s="148"/>
      <c r="AG212" s="148"/>
      <c r="AH212" s="183"/>
    </row>
    <row r="213" spans="2:34" ht="35.1" customHeight="1" thickTop="1" thickBot="1" x14ac:dyDescent="0.25">
      <c r="B213" s="143"/>
      <c r="C213" s="143"/>
      <c r="D213" s="143"/>
      <c r="E213" s="143"/>
      <c r="F213" s="143"/>
      <c r="G213" s="143"/>
      <c r="H213" s="143"/>
      <c r="I213" s="160"/>
      <c r="J213" s="12" t="s">
        <v>25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e">
        <f t="shared" si="34"/>
        <v>#DIV/0!</v>
      </c>
      <c r="AA213" s="149"/>
      <c r="AB213" s="149"/>
      <c r="AC213" s="153"/>
      <c r="AD213" s="153"/>
      <c r="AE213" s="165"/>
      <c r="AF213" s="149"/>
      <c r="AG213" s="149"/>
      <c r="AH213" s="184"/>
    </row>
    <row r="214" spans="2:34" ht="35.1" customHeight="1" thickTop="1" thickBot="1" x14ac:dyDescent="0.25">
      <c r="B214" s="141"/>
      <c r="C214" s="141"/>
      <c r="D214" s="141"/>
      <c r="E214" s="141"/>
      <c r="F214" s="141"/>
      <c r="G214" s="141"/>
      <c r="H214" s="141"/>
      <c r="I214" s="158"/>
      <c r="J214" s="18" t="s">
        <v>30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e">
        <f t="shared" si="34"/>
        <v>#DIV/0!</v>
      </c>
      <c r="AA214" s="147" t="e">
        <f>AVERAGE(Z214,Z215,Z216,Z219)</f>
        <v>#DIV/0!</v>
      </c>
      <c r="AB214" s="150"/>
      <c r="AC214" s="151"/>
      <c r="AD214" s="151"/>
      <c r="AE214" s="163"/>
      <c r="AF214" s="150"/>
      <c r="AG214" s="150"/>
      <c r="AH214" s="182" t="e">
        <f t="shared" ref="AH214" si="38">(AC214)/AB214</f>
        <v>#DIV/0!</v>
      </c>
    </row>
    <row r="215" spans="2:34" ht="35.1" customHeight="1" thickTop="1" thickBot="1" x14ac:dyDescent="0.25">
      <c r="B215" s="142"/>
      <c r="C215" s="142"/>
      <c r="D215" s="142"/>
      <c r="E215" s="142"/>
      <c r="F215" s="142"/>
      <c r="G215" s="142"/>
      <c r="H215" s="142"/>
      <c r="I215" s="159"/>
      <c r="J215" s="18" t="s">
        <v>29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e">
        <f t="shared" si="34"/>
        <v>#DIV/0!</v>
      </c>
      <c r="AA215" s="148"/>
      <c r="AB215" s="148"/>
      <c r="AC215" s="152"/>
      <c r="AD215" s="152"/>
      <c r="AE215" s="164"/>
      <c r="AF215" s="148"/>
      <c r="AG215" s="148"/>
      <c r="AH215" s="183"/>
    </row>
    <row r="216" spans="2:34" ht="35.1" customHeight="1" thickTop="1" thickBot="1" x14ac:dyDescent="0.25">
      <c r="B216" s="142"/>
      <c r="C216" s="142"/>
      <c r="D216" s="142"/>
      <c r="E216" s="142"/>
      <c r="F216" s="142"/>
      <c r="G216" s="142"/>
      <c r="H216" s="142"/>
      <c r="I216" s="159"/>
      <c r="J216" s="18" t="s">
        <v>28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e">
        <f t="shared" si="34"/>
        <v>#DIV/0!</v>
      </c>
      <c r="AA216" s="148"/>
      <c r="AB216" s="148"/>
      <c r="AC216" s="152"/>
      <c r="AD216" s="152"/>
      <c r="AE216" s="164"/>
      <c r="AF216" s="148"/>
      <c r="AG216" s="148"/>
      <c r="AH216" s="183"/>
    </row>
    <row r="217" spans="2:34" ht="35.1" customHeight="1" thickTop="1" thickBot="1" x14ac:dyDescent="0.25">
      <c r="B217" s="142"/>
      <c r="C217" s="142"/>
      <c r="D217" s="142"/>
      <c r="E217" s="142"/>
      <c r="F217" s="142"/>
      <c r="G217" s="142"/>
      <c r="H217" s="142"/>
      <c r="I217" s="159"/>
      <c r="J217" s="18" t="s">
        <v>27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e">
        <f t="shared" si="34"/>
        <v>#DIV/0!</v>
      </c>
      <c r="AA217" s="148"/>
      <c r="AB217" s="148"/>
      <c r="AC217" s="152"/>
      <c r="AD217" s="152"/>
      <c r="AE217" s="164"/>
      <c r="AF217" s="148"/>
      <c r="AG217" s="148"/>
      <c r="AH217" s="183"/>
    </row>
    <row r="218" spans="2:34" ht="35.1" customHeight="1" thickTop="1" thickBot="1" x14ac:dyDescent="0.25">
      <c r="B218" s="142"/>
      <c r="C218" s="142"/>
      <c r="D218" s="142"/>
      <c r="E218" s="142"/>
      <c r="F218" s="142"/>
      <c r="G218" s="142"/>
      <c r="H218" s="142"/>
      <c r="I218" s="159"/>
      <c r="J218" s="18" t="s">
        <v>26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e">
        <f t="shared" si="34"/>
        <v>#DIV/0!</v>
      </c>
      <c r="AA218" s="148"/>
      <c r="AB218" s="148"/>
      <c r="AC218" s="152"/>
      <c r="AD218" s="152"/>
      <c r="AE218" s="164"/>
      <c r="AF218" s="148"/>
      <c r="AG218" s="148"/>
      <c r="AH218" s="183"/>
    </row>
    <row r="219" spans="2:34" ht="35.1" customHeight="1" thickTop="1" thickBot="1" x14ac:dyDescent="0.25">
      <c r="B219" s="143"/>
      <c r="C219" s="143"/>
      <c r="D219" s="143"/>
      <c r="E219" s="143"/>
      <c r="F219" s="143"/>
      <c r="G219" s="143"/>
      <c r="H219" s="143"/>
      <c r="I219" s="160"/>
      <c r="J219" s="12" t="s">
        <v>25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e">
        <f t="shared" si="34"/>
        <v>#DIV/0!</v>
      </c>
      <c r="AA219" s="149"/>
      <c r="AB219" s="149"/>
      <c r="AC219" s="153"/>
      <c r="AD219" s="153"/>
      <c r="AE219" s="165"/>
      <c r="AF219" s="149"/>
      <c r="AG219" s="149"/>
      <c r="AH219" s="184"/>
    </row>
    <row r="220" spans="2:34" ht="35.1" customHeight="1" thickTop="1" thickBot="1" x14ac:dyDescent="0.25">
      <c r="B220" s="141"/>
      <c r="C220" s="141"/>
      <c r="D220" s="141"/>
      <c r="E220" s="141"/>
      <c r="F220" s="141"/>
      <c r="G220" s="141"/>
      <c r="H220" s="141"/>
      <c r="I220" s="158"/>
      <c r="J220" s="18" t="s">
        <v>30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e">
        <f t="shared" si="34"/>
        <v>#DIV/0!</v>
      </c>
      <c r="AA220" s="147" t="e">
        <f>AVERAGE(Z220,Z221,Z222,Z225)</f>
        <v>#DIV/0!</v>
      </c>
      <c r="AB220" s="150"/>
      <c r="AC220" s="151"/>
      <c r="AD220" s="151"/>
      <c r="AE220" s="163"/>
      <c r="AF220" s="150"/>
      <c r="AG220" s="150"/>
      <c r="AH220" s="182" t="e">
        <f t="shared" ref="AH220" si="39">(AC220)/AB220</f>
        <v>#DIV/0!</v>
      </c>
    </row>
    <row r="221" spans="2:34" ht="35.1" customHeight="1" thickTop="1" thickBot="1" x14ac:dyDescent="0.25">
      <c r="B221" s="142"/>
      <c r="C221" s="142"/>
      <c r="D221" s="142"/>
      <c r="E221" s="142"/>
      <c r="F221" s="142"/>
      <c r="G221" s="142"/>
      <c r="H221" s="142"/>
      <c r="I221" s="159"/>
      <c r="J221" s="18" t="s">
        <v>29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e">
        <f t="shared" si="34"/>
        <v>#DIV/0!</v>
      </c>
      <c r="AA221" s="148"/>
      <c r="AB221" s="148"/>
      <c r="AC221" s="152"/>
      <c r="AD221" s="152"/>
      <c r="AE221" s="164"/>
      <c r="AF221" s="148"/>
      <c r="AG221" s="148"/>
      <c r="AH221" s="183"/>
    </row>
    <row r="222" spans="2:34" ht="35.1" customHeight="1" thickTop="1" thickBot="1" x14ac:dyDescent="0.25">
      <c r="B222" s="142"/>
      <c r="C222" s="142"/>
      <c r="D222" s="142"/>
      <c r="E222" s="142"/>
      <c r="F222" s="142"/>
      <c r="G222" s="142"/>
      <c r="H222" s="142"/>
      <c r="I222" s="159"/>
      <c r="J222" s="18" t="s">
        <v>28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e">
        <f t="shared" si="34"/>
        <v>#DIV/0!</v>
      </c>
      <c r="AA222" s="148"/>
      <c r="AB222" s="148"/>
      <c r="AC222" s="152"/>
      <c r="AD222" s="152"/>
      <c r="AE222" s="164"/>
      <c r="AF222" s="148"/>
      <c r="AG222" s="148"/>
      <c r="AH222" s="183"/>
    </row>
    <row r="223" spans="2:34" ht="35.1" customHeight="1" thickTop="1" thickBot="1" x14ac:dyDescent="0.25">
      <c r="B223" s="142"/>
      <c r="C223" s="142"/>
      <c r="D223" s="142"/>
      <c r="E223" s="142"/>
      <c r="F223" s="142"/>
      <c r="G223" s="142"/>
      <c r="H223" s="142"/>
      <c r="I223" s="159"/>
      <c r="J223" s="18" t="s">
        <v>27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e">
        <f t="shared" si="34"/>
        <v>#DIV/0!</v>
      </c>
      <c r="AA223" s="148"/>
      <c r="AB223" s="148"/>
      <c r="AC223" s="152"/>
      <c r="AD223" s="152"/>
      <c r="AE223" s="164"/>
      <c r="AF223" s="148"/>
      <c r="AG223" s="148"/>
      <c r="AH223" s="183"/>
    </row>
    <row r="224" spans="2:34" ht="35.1" customHeight="1" thickTop="1" thickBot="1" x14ac:dyDescent="0.25">
      <c r="B224" s="142"/>
      <c r="C224" s="142"/>
      <c r="D224" s="142"/>
      <c r="E224" s="142"/>
      <c r="F224" s="142"/>
      <c r="G224" s="142"/>
      <c r="H224" s="142"/>
      <c r="I224" s="159"/>
      <c r="J224" s="18" t="s">
        <v>26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e">
        <f t="shared" si="34"/>
        <v>#DIV/0!</v>
      </c>
      <c r="AA224" s="148"/>
      <c r="AB224" s="148"/>
      <c r="AC224" s="152"/>
      <c r="AD224" s="152"/>
      <c r="AE224" s="164"/>
      <c r="AF224" s="148"/>
      <c r="AG224" s="148"/>
      <c r="AH224" s="183"/>
    </row>
    <row r="225" spans="2:34" ht="35.1" customHeight="1" thickTop="1" thickBot="1" x14ac:dyDescent="0.25">
      <c r="B225" s="143"/>
      <c r="C225" s="143"/>
      <c r="D225" s="143"/>
      <c r="E225" s="143"/>
      <c r="F225" s="143"/>
      <c r="G225" s="143"/>
      <c r="H225" s="143"/>
      <c r="I225" s="160"/>
      <c r="J225" s="12" t="s">
        <v>25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e">
        <f t="shared" si="34"/>
        <v>#DIV/0!</v>
      </c>
      <c r="AA225" s="149"/>
      <c r="AB225" s="149"/>
      <c r="AC225" s="153"/>
      <c r="AD225" s="153"/>
      <c r="AE225" s="165"/>
      <c r="AF225" s="149"/>
      <c r="AG225" s="149"/>
      <c r="AH225" s="184"/>
    </row>
    <row r="226" spans="2:34" ht="35.1" customHeight="1" thickTop="1" thickBot="1" x14ac:dyDescent="0.25">
      <c r="B226" s="141"/>
      <c r="C226" s="141"/>
      <c r="D226" s="141"/>
      <c r="E226" s="141"/>
      <c r="F226" s="141"/>
      <c r="G226" s="141"/>
      <c r="H226" s="141"/>
      <c r="I226" s="158"/>
      <c r="J226" s="18" t="s">
        <v>30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e">
        <f t="shared" si="34"/>
        <v>#DIV/0!</v>
      </c>
      <c r="AA226" s="147" t="e">
        <f>AVERAGE(Z226,Z227,Z228,Z231)</f>
        <v>#DIV/0!</v>
      </c>
      <c r="AB226" s="150"/>
      <c r="AC226" s="151"/>
      <c r="AD226" s="151"/>
      <c r="AE226" s="163"/>
      <c r="AF226" s="150"/>
      <c r="AG226" s="150"/>
      <c r="AH226" s="182" t="e">
        <f t="shared" ref="AH226" si="40">(AC226)/AB226</f>
        <v>#DIV/0!</v>
      </c>
    </row>
    <row r="227" spans="2:34" ht="35.1" customHeight="1" thickTop="1" thickBot="1" x14ac:dyDescent="0.25">
      <c r="B227" s="142"/>
      <c r="C227" s="142"/>
      <c r="D227" s="142"/>
      <c r="E227" s="142"/>
      <c r="F227" s="142"/>
      <c r="G227" s="142"/>
      <c r="H227" s="142"/>
      <c r="I227" s="159"/>
      <c r="J227" s="18" t="s">
        <v>29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e">
        <f t="shared" si="34"/>
        <v>#DIV/0!</v>
      </c>
      <c r="AA227" s="148"/>
      <c r="AB227" s="148"/>
      <c r="AC227" s="152"/>
      <c r="AD227" s="152"/>
      <c r="AE227" s="164"/>
      <c r="AF227" s="148"/>
      <c r="AG227" s="148"/>
      <c r="AH227" s="183"/>
    </row>
    <row r="228" spans="2:34" ht="35.1" customHeight="1" thickTop="1" thickBot="1" x14ac:dyDescent="0.25">
      <c r="B228" s="142"/>
      <c r="C228" s="142"/>
      <c r="D228" s="142"/>
      <c r="E228" s="142"/>
      <c r="F228" s="142"/>
      <c r="G228" s="142"/>
      <c r="H228" s="142"/>
      <c r="I228" s="159"/>
      <c r="J228" s="18" t="s">
        <v>28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e">
        <f t="shared" si="34"/>
        <v>#DIV/0!</v>
      </c>
      <c r="AA228" s="148"/>
      <c r="AB228" s="148"/>
      <c r="AC228" s="152"/>
      <c r="AD228" s="152"/>
      <c r="AE228" s="164"/>
      <c r="AF228" s="148"/>
      <c r="AG228" s="148"/>
      <c r="AH228" s="183"/>
    </row>
    <row r="229" spans="2:34" ht="35.1" customHeight="1" thickTop="1" thickBot="1" x14ac:dyDescent="0.25">
      <c r="B229" s="142"/>
      <c r="C229" s="142"/>
      <c r="D229" s="142"/>
      <c r="E229" s="142"/>
      <c r="F229" s="142"/>
      <c r="G229" s="142"/>
      <c r="H229" s="142"/>
      <c r="I229" s="159"/>
      <c r="J229" s="18" t="s">
        <v>27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e">
        <f t="shared" si="34"/>
        <v>#DIV/0!</v>
      </c>
      <c r="AA229" s="148"/>
      <c r="AB229" s="148"/>
      <c r="AC229" s="152"/>
      <c r="AD229" s="152"/>
      <c r="AE229" s="164"/>
      <c r="AF229" s="148"/>
      <c r="AG229" s="148"/>
      <c r="AH229" s="183"/>
    </row>
    <row r="230" spans="2:34" ht="35.1" customHeight="1" thickTop="1" thickBot="1" x14ac:dyDescent="0.25">
      <c r="B230" s="142"/>
      <c r="C230" s="142"/>
      <c r="D230" s="142"/>
      <c r="E230" s="142"/>
      <c r="F230" s="142"/>
      <c r="G230" s="142"/>
      <c r="H230" s="142"/>
      <c r="I230" s="159"/>
      <c r="J230" s="18" t="s">
        <v>26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e">
        <f t="shared" si="34"/>
        <v>#DIV/0!</v>
      </c>
      <c r="AA230" s="148"/>
      <c r="AB230" s="148"/>
      <c r="AC230" s="152"/>
      <c r="AD230" s="152"/>
      <c r="AE230" s="164"/>
      <c r="AF230" s="148"/>
      <c r="AG230" s="148"/>
      <c r="AH230" s="183"/>
    </row>
    <row r="231" spans="2:34" ht="35.1" customHeight="1" thickTop="1" thickBot="1" x14ac:dyDescent="0.25">
      <c r="B231" s="143"/>
      <c r="C231" s="143"/>
      <c r="D231" s="143"/>
      <c r="E231" s="143"/>
      <c r="F231" s="143"/>
      <c r="G231" s="143"/>
      <c r="H231" s="143"/>
      <c r="I231" s="160"/>
      <c r="J231" s="12" t="s">
        <v>25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e">
        <f t="shared" si="34"/>
        <v>#DIV/0!</v>
      </c>
      <c r="AA231" s="149"/>
      <c r="AB231" s="149"/>
      <c r="AC231" s="153"/>
      <c r="AD231" s="153"/>
      <c r="AE231" s="165"/>
      <c r="AF231" s="149"/>
      <c r="AG231" s="149"/>
      <c r="AH231" s="184"/>
    </row>
    <row r="232" spans="2:34" ht="35.1" customHeight="1" thickTop="1" thickBot="1" x14ac:dyDescent="0.25">
      <c r="B232" s="141"/>
      <c r="C232" s="141"/>
      <c r="D232" s="141"/>
      <c r="E232" s="141"/>
      <c r="F232" s="141"/>
      <c r="G232" s="141"/>
      <c r="H232" s="141"/>
      <c r="I232" s="158"/>
      <c r="J232" s="18" t="s">
        <v>30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e">
        <f t="shared" si="34"/>
        <v>#DIV/0!</v>
      </c>
      <c r="AA232" s="147" t="e">
        <f>AVERAGE(Z232,Z233,Z234,Z237)</f>
        <v>#DIV/0!</v>
      </c>
      <c r="AB232" s="150"/>
      <c r="AC232" s="151"/>
      <c r="AD232" s="151"/>
      <c r="AE232" s="163"/>
      <c r="AF232" s="150"/>
      <c r="AG232" s="150"/>
      <c r="AH232" s="182" t="e">
        <f t="shared" ref="AH232" si="41">(AC232)/AB232</f>
        <v>#DIV/0!</v>
      </c>
    </row>
    <row r="233" spans="2:34" ht="35.1" customHeight="1" thickTop="1" thickBot="1" x14ac:dyDescent="0.25">
      <c r="B233" s="142"/>
      <c r="C233" s="142"/>
      <c r="D233" s="142"/>
      <c r="E233" s="142"/>
      <c r="F233" s="142"/>
      <c r="G233" s="142"/>
      <c r="H233" s="142"/>
      <c r="I233" s="159"/>
      <c r="J233" s="18" t="s">
        <v>29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e">
        <f t="shared" si="34"/>
        <v>#DIV/0!</v>
      </c>
      <c r="AA233" s="148"/>
      <c r="AB233" s="148"/>
      <c r="AC233" s="152"/>
      <c r="AD233" s="152"/>
      <c r="AE233" s="164"/>
      <c r="AF233" s="148"/>
      <c r="AG233" s="148"/>
      <c r="AH233" s="183"/>
    </row>
    <row r="234" spans="2:34" ht="35.1" customHeight="1" thickTop="1" thickBot="1" x14ac:dyDescent="0.25">
      <c r="B234" s="142"/>
      <c r="C234" s="142"/>
      <c r="D234" s="142"/>
      <c r="E234" s="142"/>
      <c r="F234" s="142"/>
      <c r="G234" s="142"/>
      <c r="H234" s="142"/>
      <c r="I234" s="159"/>
      <c r="J234" s="18" t="s">
        <v>28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e">
        <f t="shared" si="34"/>
        <v>#DIV/0!</v>
      </c>
      <c r="AA234" s="148"/>
      <c r="AB234" s="148"/>
      <c r="AC234" s="152"/>
      <c r="AD234" s="152"/>
      <c r="AE234" s="164"/>
      <c r="AF234" s="148"/>
      <c r="AG234" s="148"/>
      <c r="AH234" s="183"/>
    </row>
    <row r="235" spans="2:34" ht="35.1" customHeight="1" thickTop="1" thickBot="1" x14ac:dyDescent="0.25">
      <c r="B235" s="142"/>
      <c r="C235" s="142"/>
      <c r="D235" s="142"/>
      <c r="E235" s="142"/>
      <c r="F235" s="142"/>
      <c r="G235" s="142"/>
      <c r="H235" s="142"/>
      <c r="I235" s="159"/>
      <c r="J235" s="18" t="s">
        <v>27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e">
        <f t="shared" si="34"/>
        <v>#DIV/0!</v>
      </c>
      <c r="AA235" s="148"/>
      <c r="AB235" s="148"/>
      <c r="AC235" s="152"/>
      <c r="AD235" s="152"/>
      <c r="AE235" s="164"/>
      <c r="AF235" s="148"/>
      <c r="AG235" s="148"/>
      <c r="AH235" s="183"/>
    </row>
    <row r="236" spans="2:34" ht="35.1" customHeight="1" thickTop="1" thickBot="1" x14ac:dyDescent="0.25">
      <c r="B236" s="142"/>
      <c r="C236" s="142"/>
      <c r="D236" s="142"/>
      <c r="E236" s="142"/>
      <c r="F236" s="142"/>
      <c r="G236" s="142"/>
      <c r="H236" s="142"/>
      <c r="I236" s="159"/>
      <c r="J236" s="18" t="s">
        <v>26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e">
        <f t="shared" si="34"/>
        <v>#DIV/0!</v>
      </c>
      <c r="AA236" s="148"/>
      <c r="AB236" s="148"/>
      <c r="AC236" s="152"/>
      <c r="AD236" s="152"/>
      <c r="AE236" s="164"/>
      <c r="AF236" s="148"/>
      <c r="AG236" s="148"/>
      <c r="AH236" s="183"/>
    </row>
    <row r="237" spans="2:34" ht="35.1" customHeight="1" thickTop="1" thickBot="1" x14ac:dyDescent="0.25">
      <c r="B237" s="143"/>
      <c r="C237" s="143"/>
      <c r="D237" s="143"/>
      <c r="E237" s="143"/>
      <c r="F237" s="143"/>
      <c r="G237" s="143"/>
      <c r="H237" s="143"/>
      <c r="I237" s="160"/>
      <c r="J237" s="12" t="s">
        <v>25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e">
        <f t="shared" si="34"/>
        <v>#DIV/0!</v>
      </c>
      <c r="AA237" s="149"/>
      <c r="AB237" s="149"/>
      <c r="AC237" s="153"/>
      <c r="AD237" s="153"/>
      <c r="AE237" s="165"/>
      <c r="AF237" s="149"/>
      <c r="AG237" s="149"/>
      <c r="AH237" s="184"/>
    </row>
    <row r="238" spans="2:34" ht="35.1" customHeight="1" thickTop="1" thickBot="1" x14ac:dyDescent="0.25">
      <c r="B238" s="141"/>
      <c r="C238" s="141"/>
      <c r="D238" s="141"/>
      <c r="E238" s="141"/>
      <c r="F238" s="141"/>
      <c r="G238" s="141"/>
      <c r="H238" s="141"/>
      <c r="I238" s="158"/>
      <c r="J238" s="18" t="s">
        <v>30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e">
        <f t="shared" si="34"/>
        <v>#DIV/0!</v>
      </c>
      <c r="AA238" s="147" t="e">
        <f>AVERAGE(Z238,Z239,Z240,Z243)</f>
        <v>#DIV/0!</v>
      </c>
      <c r="AB238" s="150"/>
      <c r="AC238" s="151"/>
      <c r="AD238" s="151"/>
      <c r="AE238" s="163"/>
      <c r="AF238" s="150"/>
      <c r="AG238" s="150"/>
      <c r="AH238" s="182" t="e">
        <f t="shared" ref="AH238" si="42">(AC238)/AB238</f>
        <v>#DIV/0!</v>
      </c>
    </row>
    <row r="239" spans="2:34" ht="35.1" customHeight="1" thickTop="1" thickBot="1" x14ac:dyDescent="0.25">
      <c r="B239" s="142"/>
      <c r="C239" s="142"/>
      <c r="D239" s="142"/>
      <c r="E239" s="142"/>
      <c r="F239" s="142"/>
      <c r="G239" s="142"/>
      <c r="H239" s="142"/>
      <c r="I239" s="159"/>
      <c r="J239" s="18" t="s">
        <v>29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e">
        <f t="shared" si="34"/>
        <v>#DIV/0!</v>
      </c>
      <c r="AA239" s="148"/>
      <c r="AB239" s="148"/>
      <c r="AC239" s="152"/>
      <c r="AD239" s="152"/>
      <c r="AE239" s="164"/>
      <c r="AF239" s="148"/>
      <c r="AG239" s="148"/>
      <c r="AH239" s="183"/>
    </row>
    <row r="240" spans="2:34" ht="35.1" customHeight="1" thickTop="1" thickBot="1" x14ac:dyDescent="0.25">
      <c r="B240" s="142"/>
      <c r="C240" s="142"/>
      <c r="D240" s="142"/>
      <c r="E240" s="142"/>
      <c r="F240" s="142"/>
      <c r="G240" s="142"/>
      <c r="H240" s="142"/>
      <c r="I240" s="159"/>
      <c r="J240" s="18" t="s">
        <v>28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e">
        <f t="shared" si="34"/>
        <v>#DIV/0!</v>
      </c>
      <c r="AA240" s="148"/>
      <c r="AB240" s="148"/>
      <c r="AC240" s="152"/>
      <c r="AD240" s="152"/>
      <c r="AE240" s="164"/>
      <c r="AF240" s="148"/>
      <c r="AG240" s="148"/>
      <c r="AH240" s="183"/>
    </row>
    <row r="241" spans="2:34" ht="35.1" customHeight="1" thickTop="1" thickBot="1" x14ac:dyDescent="0.25">
      <c r="B241" s="142"/>
      <c r="C241" s="142"/>
      <c r="D241" s="142"/>
      <c r="E241" s="142"/>
      <c r="F241" s="142"/>
      <c r="G241" s="142"/>
      <c r="H241" s="142"/>
      <c r="I241" s="159"/>
      <c r="J241" s="18" t="s">
        <v>27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e">
        <f t="shared" si="34"/>
        <v>#DIV/0!</v>
      </c>
      <c r="AA241" s="148"/>
      <c r="AB241" s="148"/>
      <c r="AC241" s="152"/>
      <c r="AD241" s="152"/>
      <c r="AE241" s="164"/>
      <c r="AF241" s="148"/>
      <c r="AG241" s="148"/>
      <c r="AH241" s="183"/>
    </row>
    <row r="242" spans="2:34" ht="35.1" customHeight="1" thickTop="1" thickBot="1" x14ac:dyDescent="0.25">
      <c r="B242" s="142"/>
      <c r="C242" s="142"/>
      <c r="D242" s="142"/>
      <c r="E242" s="142"/>
      <c r="F242" s="142"/>
      <c r="G242" s="142"/>
      <c r="H242" s="142"/>
      <c r="I242" s="159"/>
      <c r="J242" s="18" t="s">
        <v>26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e">
        <f t="shared" si="34"/>
        <v>#DIV/0!</v>
      </c>
      <c r="AA242" s="148"/>
      <c r="AB242" s="148"/>
      <c r="AC242" s="152"/>
      <c r="AD242" s="152"/>
      <c r="AE242" s="164"/>
      <c r="AF242" s="148"/>
      <c r="AG242" s="148"/>
      <c r="AH242" s="183"/>
    </row>
    <row r="243" spans="2:34" ht="35.1" customHeight="1" thickTop="1" thickBot="1" x14ac:dyDescent="0.25">
      <c r="B243" s="143"/>
      <c r="C243" s="143"/>
      <c r="D243" s="143"/>
      <c r="E243" s="143"/>
      <c r="F243" s="143"/>
      <c r="G243" s="143"/>
      <c r="H243" s="143"/>
      <c r="I243" s="160"/>
      <c r="J243" s="12" t="s">
        <v>25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e">
        <f t="shared" si="34"/>
        <v>#DIV/0!</v>
      </c>
      <c r="AA243" s="149"/>
      <c r="AB243" s="149"/>
      <c r="AC243" s="153"/>
      <c r="AD243" s="153"/>
      <c r="AE243" s="165"/>
      <c r="AF243" s="149"/>
      <c r="AG243" s="149"/>
      <c r="AH243" s="184"/>
    </row>
    <row r="244" spans="2:34" ht="35.1" customHeight="1" thickTop="1" thickBot="1" x14ac:dyDescent="0.25">
      <c r="B244" s="141"/>
      <c r="C244" s="141"/>
      <c r="D244" s="141"/>
      <c r="E244" s="141"/>
      <c r="F244" s="141"/>
      <c r="G244" s="141"/>
      <c r="H244" s="141"/>
      <c r="I244" s="158"/>
      <c r="J244" s="18" t="s">
        <v>30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e">
        <f t="shared" si="34"/>
        <v>#DIV/0!</v>
      </c>
      <c r="AA244" s="147" t="e">
        <f>AVERAGE(Z244,Z245,Z246,Z249)</f>
        <v>#DIV/0!</v>
      </c>
      <c r="AB244" s="150"/>
      <c r="AC244" s="151"/>
      <c r="AD244" s="151"/>
      <c r="AE244" s="163"/>
      <c r="AF244" s="150"/>
      <c r="AG244" s="150"/>
      <c r="AH244" s="182" t="e">
        <f t="shared" ref="AH244" si="43">(AC244)/AB244</f>
        <v>#DIV/0!</v>
      </c>
    </row>
    <row r="245" spans="2:34" ht="35.1" customHeight="1" thickTop="1" thickBot="1" x14ac:dyDescent="0.25">
      <c r="B245" s="142"/>
      <c r="C245" s="142"/>
      <c r="D245" s="142"/>
      <c r="E245" s="142"/>
      <c r="F245" s="142"/>
      <c r="G245" s="142"/>
      <c r="H245" s="142"/>
      <c r="I245" s="159"/>
      <c r="J245" s="18" t="s">
        <v>29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e">
        <f t="shared" si="34"/>
        <v>#DIV/0!</v>
      </c>
      <c r="AA245" s="148"/>
      <c r="AB245" s="148"/>
      <c r="AC245" s="152"/>
      <c r="AD245" s="152"/>
      <c r="AE245" s="164"/>
      <c r="AF245" s="148"/>
      <c r="AG245" s="148"/>
      <c r="AH245" s="183"/>
    </row>
    <row r="246" spans="2:34" ht="35.1" customHeight="1" thickTop="1" thickBot="1" x14ac:dyDescent="0.25">
      <c r="B246" s="142"/>
      <c r="C246" s="142"/>
      <c r="D246" s="142"/>
      <c r="E246" s="142"/>
      <c r="F246" s="142"/>
      <c r="G246" s="142"/>
      <c r="H246" s="142"/>
      <c r="I246" s="159"/>
      <c r="J246" s="18" t="s">
        <v>28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e">
        <f t="shared" si="34"/>
        <v>#DIV/0!</v>
      </c>
      <c r="AA246" s="148"/>
      <c r="AB246" s="148"/>
      <c r="AC246" s="152"/>
      <c r="AD246" s="152"/>
      <c r="AE246" s="164"/>
      <c r="AF246" s="148"/>
      <c r="AG246" s="148"/>
      <c r="AH246" s="183"/>
    </row>
    <row r="247" spans="2:34" ht="35.1" customHeight="1" thickTop="1" thickBot="1" x14ac:dyDescent="0.25">
      <c r="B247" s="142"/>
      <c r="C247" s="142"/>
      <c r="D247" s="142"/>
      <c r="E247" s="142"/>
      <c r="F247" s="142"/>
      <c r="G247" s="142"/>
      <c r="H247" s="142"/>
      <c r="I247" s="159"/>
      <c r="J247" s="18" t="s">
        <v>27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e">
        <f t="shared" si="34"/>
        <v>#DIV/0!</v>
      </c>
      <c r="AA247" s="148"/>
      <c r="AB247" s="148"/>
      <c r="AC247" s="152"/>
      <c r="AD247" s="152"/>
      <c r="AE247" s="164"/>
      <c r="AF247" s="148"/>
      <c r="AG247" s="148"/>
      <c r="AH247" s="183"/>
    </row>
    <row r="248" spans="2:34" ht="35.1" customHeight="1" thickTop="1" thickBot="1" x14ac:dyDescent="0.25">
      <c r="B248" s="142"/>
      <c r="C248" s="142"/>
      <c r="D248" s="142"/>
      <c r="E248" s="142"/>
      <c r="F248" s="142"/>
      <c r="G248" s="142"/>
      <c r="H248" s="142"/>
      <c r="I248" s="159"/>
      <c r="J248" s="18" t="s">
        <v>26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e">
        <f t="shared" si="34"/>
        <v>#DIV/0!</v>
      </c>
      <c r="AA248" s="148"/>
      <c r="AB248" s="148"/>
      <c r="AC248" s="152"/>
      <c r="AD248" s="152"/>
      <c r="AE248" s="164"/>
      <c r="AF248" s="148"/>
      <c r="AG248" s="148"/>
      <c r="AH248" s="183"/>
    </row>
    <row r="249" spans="2:34" ht="35.1" customHeight="1" thickTop="1" thickBot="1" x14ac:dyDescent="0.25">
      <c r="B249" s="143"/>
      <c r="C249" s="143"/>
      <c r="D249" s="143"/>
      <c r="E249" s="143"/>
      <c r="F249" s="143"/>
      <c r="G249" s="143"/>
      <c r="H249" s="143"/>
      <c r="I249" s="160"/>
      <c r="J249" s="12" t="s">
        <v>25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e">
        <f t="shared" si="34"/>
        <v>#DIV/0!</v>
      </c>
      <c r="AA249" s="149"/>
      <c r="AB249" s="149"/>
      <c r="AC249" s="153"/>
      <c r="AD249" s="153"/>
      <c r="AE249" s="165"/>
      <c r="AF249" s="149"/>
      <c r="AG249" s="149"/>
      <c r="AH249" s="184"/>
    </row>
    <row r="250" spans="2:34" ht="35.1" customHeight="1" thickTop="1" thickBot="1" x14ac:dyDescent="0.25">
      <c r="B250" s="141"/>
      <c r="C250" s="141"/>
      <c r="D250" s="141"/>
      <c r="E250" s="141"/>
      <c r="F250" s="141"/>
      <c r="G250" s="141"/>
      <c r="H250" s="141"/>
      <c r="I250" s="158"/>
      <c r="J250" s="18" t="s">
        <v>30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e">
        <f t="shared" si="34"/>
        <v>#DIV/0!</v>
      </c>
      <c r="AA250" s="147" t="e">
        <f>AVERAGE(Z250,Z251,Z252,Z255)</f>
        <v>#DIV/0!</v>
      </c>
      <c r="AB250" s="150"/>
      <c r="AC250" s="151"/>
      <c r="AD250" s="151"/>
      <c r="AE250" s="163"/>
      <c r="AF250" s="150"/>
      <c r="AG250" s="150"/>
      <c r="AH250" s="182" t="e">
        <f t="shared" ref="AH250" si="44">(AC250)/AB250</f>
        <v>#DIV/0!</v>
      </c>
    </row>
    <row r="251" spans="2:34" ht="35.1" customHeight="1" thickTop="1" thickBot="1" x14ac:dyDescent="0.25">
      <c r="B251" s="142"/>
      <c r="C251" s="142"/>
      <c r="D251" s="142"/>
      <c r="E251" s="142"/>
      <c r="F251" s="142"/>
      <c r="G251" s="142"/>
      <c r="H251" s="142"/>
      <c r="I251" s="159"/>
      <c r="J251" s="18" t="s">
        <v>29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e">
        <f t="shared" si="34"/>
        <v>#DIV/0!</v>
      </c>
      <c r="AA251" s="148"/>
      <c r="AB251" s="148"/>
      <c r="AC251" s="152"/>
      <c r="AD251" s="152"/>
      <c r="AE251" s="164"/>
      <c r="AF251" s="148"/>
      <c r="AG251" s="148"/>
      <c r="AH251" s="183"/>
    </row>
    <row r="252" spans="2:34" ht="35.1" customHeight="1" thickTop="1" thickBot="1" x14ac:dyDescent="0.25">
      <c r="B252" s="142"/>
      <c r="C252" s="142"/>
      <c r="D252" s="142"/>
      <c r="E252" s="142"/>
      <c r="F252" s="142"/>
      <c r="G252" s="142"/>
      <c r="H252" s="142"/>
      <c r="I252" s="159"/>
      <c r="J252" s="18" t="s">
        <v>28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e">
        <f t="shared" si="34"/>
        <v>#DIV/0!</v>
      </c>
      <c r="AA252" s="148"/>
      <c r="AB252" s="148"/>
      <c r="AC252" s="152"/>
      <c r="AD252" s="152"/>
      <c r="AE252" s="164"/>
      <c r="AF252" s="148"/>
      <c r="AG252" s="148"/>
      <c r="AH252" s="183"/>
    </row>
    <row r="253" spans="2:34" ht="35.1" customHeight="1" thickTop="1" thickBot="1" x14ac:dyDescent="0.25">
      <c r="B253" s="142"/>
      <c r="C253" s="142"/>
      <c r="D253" s="142"/>
      <c r="E253" s="142"/>
      <c r="F253" s="142"/>
      <c r="G253" s="142"/>
      <c r="H253" s="142"/>
      <c r="I253" s="159"/>
      <c r="J253" s="18" t="s">
        <v>27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e">
        <f t="shared" si="34"/>
        <v>#DIV/0!</v>
      </c>
      <c r="AA253" s="148"/>
      <c r="AB253" s="148"/>
      <c r="AC253" s="152"/>
      <c r="AD253" s="152"/>
      <c r="AE253" s="164"/>
      <c r="AF253" s="148"/>
      <c r="AG253" s="148"/>
      <c r="AH253" s="183"/>
    </row>
    <row r="254" spans="2:34" ht="35.1" customHeight="1" thickTop="1" thickBot="1" x14ac:dyDescent="0.25">
      <c r="B254" s="142"/>
      <c r="C254" s="142"/>
      <c r="D254" s="142"/>
      <c r="E254" s="142"/>
      <c r="F254" s="142"/>
      <c r="G254" s="142"/>
      <c r="H254" s="142"/>
      <c r="I254" s="159"/>
      <c r="J254" s="18" t="s">
        <v>26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e">
        <f t="shared" si="34"/>
        <v>#DIV/0!</v>
      </c>
      <c r="AA254" s="148"/>
      <c r="AB254" s="148"/>
      <c r="AC254" s="152"/>
      <c r="AD254" s="152"/>
      <c r="AE254" s="164"/>
      <c r="AF254" s="148"/>
      <c r="AG254" s="148"/>
      <c r="AH254" s="183"/>
    </row>
    <row r="255" spans="2:34" ht="35.1" customHeight="1" thickTop="1" thickBot="1" x14ac:dyDescent="0.25">
      <c r="B255" s="143"/>
      <c r="C255" s="143"/>
      <c r="D255" s="143"/>
      <c r="E255" s="143"/>
      <c r="F255" s="143"/>
      <c r="G255" s="143"/>
      <c r="H255" s="143"/>
      <c r="I255" s="160"/>
      <c r="J255" s="12" t="s">
        <v>25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e">
        <f t="shared" si="34"/>
        <v>#DIV/0!</v>
      </c>
      <c r="AA255" s="149"/>
      <c r="AB255" s="149"/>
      <c r="AC255" s="153"/>
      <c r="AD255" s="153"/>
      <c r="AE255" s="165"/>
      <c r="AF255" s="149"/>
      <c r="AG255" s="149"/>
      <c r="AH255" s="184"/>
    </row>
    <row r="256" spans="2:34" ht="35.1" customHeight="1" thickTop="1" thickBot="1" x14ac:dyDescent="0.25">
      <c r="B256" s="141"/>
      <c r="C256" s="141"/>
      <c r="D256" s="141"/>
      <c r="E256" s="141"/>
      <c r="F256" s="141"/>
      <c r="G256" s="141"/>
      <c r="H256" s="141"/>
      <c r="I256" s="158"/>
      <c r="J256" s="18" t="s">
        <v>30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e">
        <f t="shared" si="34"/>
        <v>#DIV/0!</v>
      </c>
      <c r="AA256" s="147" t="e">
        <f>AVERAGE(Z256,Z257,Z258,Z261)</f>
        <v>#DIV/0!</v>
      </c>
      <c r="AB256" s="150"/>
      <c r="AC256" s="151"/>
      <c r="AD256" s="151"/>
      <c r="AE256" s="163"/>
      <c r="AF256" s="150"/>
      <c r="AG256" s="150"/>
      <c r="AH256" s="182" t="e">
        <f t="shared" ref="AH256" si="45">(AC256)/AB256</f>
        <v>#DIV/0!</v>
      </c>
    </row>
    <row r="257" spans="2:34" ht="35.1" customHeight="1" thickTop="1" thickBot="1" x14ac:dyDescent="0.25">
      <c r="B257" s="142"/>
      <c r="C257" s="142"/>
      <c r="D257" s="142"/>
      <c r="E257" s="142"/>
      <c r="F257" s="142"/>
      <c r="G257" s="142"/>
      <c r="H257" s="142"/>
      <c r="I257" s="159"/>
      <c r="J257" s="18" t="s">
        <v>29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e">
        <f t="shared" si="34"/>
        <v>#DIV/0!</v>
      </c>
      <c r="AA257" s="148"/>
      <c r="AB257" s="148"/>
      <c r="AC257" s="152"/>
      <c r="AD257" s="152"/>
      <c r="AE257" s="164"/>
      <c r="AF257" s="148"/>
      <c r="AG257" s="148"/>
      <c r="AH257" s="183"/>
    </row>
    <row r="258" spans="2:34" ht="35.1" customHeight="1" thickTop="1" thickBot="1" x14ac:dyDescent="0.25">
      <c r="B258" s="142"/>
      <c r="C258" s="142"/>
      <c r="D258" s="142"/>
      <c r="E258" s="142"/>
      <c r="F258" s="142"/>
      <c r="G258" s="142"/>
      <c r="H258" s="142"/>
      <c r="I258" s="159"/>
      <c r="J258" s="18" t="s">
        <v>28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e">
        <f t="shared" si="34"/>
        <v>#DIV/0!</v>
      </c>
      <c r="AA258" s="148"/>
      <c r="AB258" s="148"/>
      <c r="AC258" s="152"/>
      <c r="AD258" s="152"/>
      <c r="AE258" s="164"/>
      <c r="AF258" s="148"/>
      <c r="AG258" s="148"/>
      <c r="AH258" s="183"/>
    </row>
    <row r="259" spans="2:34" ht="35.1" customHeight="1" thickTop="1" thickBot="1" x14ac:dyDescent="0.25">
      <c r="B259" s="142"/>
      <c r="C259" s="142"/>
      <c r="D259" s="142"/>
      <c r="E259" s="142"/>
      <c r="F259" s="142"/>
      <c r="G259" s="142"/>
      <c r="H259" s="142"/>
      <c r="I259" s="159"/>
      <c r="J259" s="18" t="s">
        <v>27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e">
        <f t="shared" si="34"/>
        <v>#DIV/0!</v>
      </c>
      <c r="AA259" s="148"/>
      <c r="AB259" s="148"/>
      <c r="AC259" s="152"/>
      <c r="AD259" s="152"/>
      <c r="AE259" s="164"/>
      <c r="AF259" s="148"/>
      <c r="AG259" s="148"/>
      <c r="AH259" s="183"/>
    </row>
    <row r="260" spans="2:34" ht="35.1" customHeight="1" thickTop="1" thickBot="1" x14ac:dyDescent="0.25">
      <c r="B260" s="142"/>
      <c r="C260" s="142"/>
      <c r="D260" s="142"/>
      <c r="E260" s="142"/>
      <c r="F260" s="142"/>
      <c r="G260" s="142"/>
      <c r="H260" s="142"/>
      <c r="I260" s="159"/>
      <c r="J260" s="18" t="s">
        <v>26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e">
        <f t="shared" ref="Z260:Z323" si="46">(L260)/K260</f>
        <v>#DIV/0!</v>
      </c>
      <c r="AA260" s="148"/>
      <c r="AB260" s="148"/>
      <c r="AC260" s="152"/>
      <c r="AD260" s="152"/>
      <c r="AE260" s="164"/>
      <c r="AF260" s="148"/>
      <c r="AG260" s="148"/>
      <c r="AH260" s="183"/>
    </row>
    <row r="261" spans="2:34" ht="35.1" customHeight="1" thickTop="1" thickBot="1" x14ac:dyDescent="0.25">
      <c r="B261" s="143"/>
      <c r="C261" s="143"/>
      <c r="D261" s="143"/>
      <c r="E261" s="143"/>
      <c r="F261" s="143"/>
      <c r="G261" s="143"/>
      <c r="H261" s="143"/>
      <c r="I261" s="160"/>
      <c r="J261" s="12" t="s">
        <v>25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e">
        <f t="shared" si="46"/>
        <v>#DIV/0!</v>
      </c>
      <c r="AA261" s="149"/>
      <c r="AB261" s="149"/>
      <c r="AC261" s="153"/>
      <c r="AD261" s="153"/>
      <c r="AE261" s="165"/>
      <c r="AF261" s="149"/>
      <c r="AG261" s="149"/>
      <c r="AH261" s="184"/>
    </row>
    <row r="262" spans="2:34" ht="35.1" customHeight="1" thickTop="1" thickBot="1" x14ac:dyDescent="0.25">
      <c r="B262" s="141"/>
      <c r="C262" s="141"/>
      <c r="D262" s="141"/>
      <c r="E262" s="141"/>
      <c r="F262" s="141"/>
      <c r="G262" s="141"/>
      <c r="H262" s="141"/>
      <c r="I262" s="158"/>
      <c r="J262" s="18" t="s">
        <v>30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e">
        <f t="shared" si="46"/>
        <v>#DIV/0!</v>
      </c>
      <c r="AA262" s="147" t="e">
        <f>AVERAGE(Z262,Z263,Z264,Z267)</f>
        <v>#DIV/0!</v>
      </c>
      <c r="AB262" s="150"/>
      <c r="AC262" s="151"/>
      <c r="AD262" s="151"/>
      <c r="AE262" s="163"/>
      <c r="AF262" s="150"/>
      <c r="AG262" s="150"/>
      <c r="AH262" s="182" t="e">
        <f t="shared" ref="AH262" si="47">(AC262)/AB262</f>
        <v>#DIV/0!</v>
      </c>
    </row>
    <row r="263" spans="2:34" ht="35.1" customHeight="1" thickTop="1" thickBot="1" x14ac:dyDescent="0.25">
      <c r="B263" s="142"/>
      <c r="C263" s="142"/>
      <c r="D263" s="142"/>
      <c r="E263" s="142"/>
      <c r="F263" s="142"/>
      <c r="G263" s="142"/>
      <c r="H263" s="142"/>
      <c r="I263" s="159"/>
      <c r="J263" s="18" t="s">
        <v>29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e">
        <f t="shared" si="46"/>
        <v>#DIV/0!</v>
      </c>
      <c r="AA263" s="148"/>
      <c r="AB263" s="148"/>
      <c r="AC263" s="152"/>
      <c r="AD263" s="152"/>
      <c r="AE263" s="164"/>
      <c r="AF263" s="148"/>
      <c r="AG263" s="148"/>
      <c r="AH263" s="183"/>
    </row>
    <row r="264" spans="2:34" ht="35.1" customHeight="1" thickTop="1" thickBot="1" x14ac:dyDescent="0.25">
      <c r="B264" s="142"/>
      <c r="C264" s="142"/>
      <c r="D264" s="142"/>
      <c r="E264" s="142"/>
      <c r="F264" s="142"/>
      <c r="G264" s="142"/>
      <c r="H264" s="142"/>
      <c r="I264" s="159"/>
      <c r="J264" s="18" t="s">
        <v>28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e">
        <f t="shared" si="46"/>
        <v>#DIV/0!</v>
      </c>
      <c r="AA264" s="148"/>
      <c r="AB264" s="148"/>
      <c r="AC264" s="152"/>
      <c r="AD264" s="152"/>
      <c r="AE264" s="164"/>
      <c r="AF264" s="148"/>
      <c r="AG264" s="148"/>
      <c r="AH264" s="183"/>
    </row>
    <row r="265" spans="2:34" ht="35.1" customHeight="1" thickTop="1" thickBot="1" x14ac:dyDescent="0.25">
      <c r="B265" s="142"/>
      <c r="C265" s="142"/>
      <c r="D265" s="142"/>
      <c r="E265" s="142"/>
      <c r="F265" s="142"/>
      <c r="G265" s="142"/>
      <c r="H265" s="142"/>
      <c r="I265" s="159"/>
      <c r="J265" s="18" t="s">
        <v>27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e">
        <f t="shared" si="46"/>
        <v>#DIV/0!</v>
      </c>
      <c r="AA265" s="148"/>
      <c r="AB265" s="148"/>
      <c r="AC265" s="152"/>
      <c r="AD265" s="152"/>
      <c r="AE265" s="164"/>
      <c r="AF265" s="148"/>
      <c r="AG265" s="148"/>
      <c r="AH265" s="183"/>
    </row>
    <row r="266" spans="2:34" ht="35.1" customHeight="1" thickTop="1" thickBot="1" x14ac:dyDescent="0.25">
      <c r="B266" s="142"/>
      <c r="C266" s="142"/>
      <c r="D266" s="142"/>
      <c r="E266" s="142"/>
      <c r="F266" s="142"/>
      <c r="G266" s="142"/>
      <c r="H266" s="142"/>
      <c r="I266" s="159"/>
      <c r="J266" s="18" t="s">
        <v>26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e">
        <f t="shared" si="46"/>
        <v>#DIV/0!</v>
      </c>
      <c r="AA266" s="148"/>
      <c r="AB266" s="148"/>
      <c r="AC266" s="152"/>
      <c r="AD266" s="152"/>
      <c r="AE266" s="164"/>
      <c r="AF266" s="148"/>
      <c r="AG266" s="148"/>
      <c r="AH266" s="183"/>
    </row>
    <row r="267" spans="2:34" ht="35.1" customHeight="1" thickTop="1" thickBot="1" x14ac:dyDescent="0.25">
      <c r="B267" s="143"/>
      <c r="C267" s="143"/>
      <c r="D267" s="143"/>
      <c r="E267" s="143"/>
      <c r="F267" s="143"/>
      <c r="G267" s="143"/>
      <c r="H267" s="143"/>
      <c r="I267" s="160"/>
      <c r="J267" s="12" t="s">
        <v>25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e">
        <f t="shared" si="46"/>
        <v>#DIV/0!</v>
      </c>
      <c r="AA267" s="149"/>
      <c r="AB267" s="149"/>
      <c r="AC267" s="153"/>
      <c r="AD267" s="153"/>
      <c r="AE267" s="165"/>
      <c r="AF267" s="149"/>
      <c r="AG267" s="149"/>
      <c r="AH267" s="184"/>
    </row>
    <row r="268" spans="2:34" ht="35.1" customHeight="1" thickTop="1" thickBot="1" x14ac:dyDescent="0.25">
      <c r="B268" s="141"/>
      <c r="C268" s="141"/>
      <c r="D268" s="141"/>
      <c r="E268" s="141"/>
      <c r="F268" s="141"/>
      <c r="G268" s="141"/>
      <c r="H268" s="141"/>
      <c r="I268" s="158"/>
      <c r="J268" s="18" t="s">
        <v>30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e">
        <f t="shared" si="46"/>
        <v>#DIV/0!</v>
      </c>
      <c r="AA268" s="147" t="e">
        <f>AVERAGE(Z268,Z269,Z270,Z273)</f>
        <v>#DIV/0!</v>
      </c>
      <c r="AB268" s="150"/>
      <c r="AC268" s="151"/>
      <c r="AD268" s="151"/>
      <c r="AE268" s="163"/>
      <c r="AF268" s="150"/>
      <c r="AG268" s="150"/>
      <c r="AH268" s="182" t="e">
        <f t="shared" ref="AH268" si="48">(AC268)/AB268</f>
        <v>#DIV/0!</v>
      </c>
    </row>
    <row r="269" spans="2:34" ht="35.1" customHeight="1" thickTop="1" thickBot="1" x14ac:dyDescent="0.25">
      <c r="B269" s="142"/>
      <c r="C269" s="142"/>
      <c r="D269" s="142"/>
      <c r="E269" s="142"/>
      <c r="F269" s="142"/>
      <c r="G269" s="142"/>
      <c r="H269" s="142"/>
      <c r="I269" s="159"/>
      <c r="J269" s="18" t="s">
        <v>29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e">
        <f t="shared" si="46"/>
        <v>#DIV/0!</v>
      </c>
      <c r="AA269" s="148"/>
      <c r="AB269" s="148"/>
      <c r="AC269" s="152"/>
      <c r="AD269" s="152"/>
      <c r="AE269" s="164"/>
      <c r="AF269" s="148"/>
      <c r="AG269" s="148"/>
      <c r="AH269" s="183"/>
    </row>
    <row r="270" spans="2:34" ht="35.1" customHeight="1" thickTop="1" thickBot="1" x14ac:dyDescent="0.25">
      <c r="B270" s="142"/>
      <c r="C270" s="142"/>
      <c r="D270" s="142"/>
      <c r="E270" s="142"/>
      <c r="F270" s="142"/>
      <c r="G270" s="142"/>
      <c r="H270" s="142"/>
      <c r="I270" s="159"/>
      <c r="J270" s="18" t="s">
        <v>28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e">
        <f t="shared" si="46"/>
        <v>#DIV/0!</v>
      </c>
      <c r="AA270" s="148"/>
      <c r="AB270" s="148"/>
      <c r="AC270" s="152"/>
      <c r="AD270" s="152"/>
      <c r="AE270" s="164"/>
      <c r="AF270" s="148"/>
      <c r="AG270" s="148"/>
      <c r="AH270" s="183"/>
    </row>
    <row r="271" spans="2:34" ht="35.1" customHeight="1" thickTop="1" thickBot="1" x14ac:dyDescent="0.25">
      <c r="B271" s="142"/>
      <c r="C271" s="142"/>
      <c r="D271" s="142"/>
      <c r="E271" s="142"/>
      <c r="F271" s="142"/>
      <c r="G271" s="142"/>
      <c r="H271" s="142"/>
      <c r="I271" s="159"/>
      <c r="J271" s="18" t="s">
        <v>27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e">
        <f t="shared" si="46"/>
        <v>#DIV/0!</v>
      </c>
      <c r="AA271" s="148"/>
      <c r="AB271" s="148"/>
      <c r="AC271" s="152"/>
      <c r="AD271" s="152"/>
      <c r="AE271" s="164"/>
      <c r="AF271" s="148"/>
      <c r="AG271" s="148"/>
      <c r="AH271" s="183"/>
    </row>
    <row r="272" spans="2:34" ht="35.1" customHeight="1" thickTop="1" thickBot="1" x14ac:dyDescent="0.25">
      <c r="B272" s="142"/>
      <c r="C272" s="142"/>
      <c r="D272" s="142"/>
      <c r="E272" s="142"/>
      <c r="F272" s="142"/>
      <c r="G272" s="142"/>
      <c r="H272" s="142"/>
      <c r="I272" s="159"/>
      <c r="J272" s="18" t="s">
        <v>26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e">
        <f t="shared" si="46"/>
        <v>#DIV/0!</v>
      </c>
      <c r="AA272" s="148"/>
      <c r="AB272" s="148"/>
      <c r="AC272" s="152"/>
      <c r="AD272" s="152"/>
      <c r="AE272" s="164"/>
      <c r="AF272" s="148"/>
      <c r="AG272" s="148"/>
      <c r="AH272" s="183"/>
    </row>
    <row r="273" spans="2:34" ht="35.1" customHeight="1" thickTop="1" thickBot="1" x14ac:dyDescent="0.25">
      <c r="B273" s="143"/>
      <c r="C273" s="143"/>
      <c r="D273" s="143"/>
      <c r="E273" s="143"/>
      <c r="F273" s="143"/>
      <c r="G273" s="143"/>
      <c r="H273" s="143"/>
      <c r="I273" s="160"/>
      <c r="J273" s="12" t="s">
        <v>25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e">
        <f t="shared" si="46"/>
        <v>#DIV/0!</v>
      </c>
      <c r="AA273" s="149"/>
      <c r="AB273" s="149"/>
      <c r="AC273" s="153"/>
      <c r="AD273" s="153"/>
      <c r="AE273" s="165"/>
      <c r="AF273" s="149"/>
      <c r="AG273" s="149"/>
      <c r="AH273" s="184"/>
    </row>
    <row r="274" spans="2:34" ht="35.1" customHeight="1" thickTop="1" thickBot="1" x14ac:dyDescent="0.25">
      <c r="B274" s="141"/>
      <c r="C274" s="141"/>
      <c r="D274" s="141"/>
      <c r="E274" s="141"/>
      <c r="F274" s="141"/>
      <c r="G274" s="141"/>
      <c r="H274" s="141"/>
      <c r="I274" s="158"/>
      <c r="J274" s="18" t="s">
        <v>30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e">
        <f t="shared" si="46"/>
        <v>#DIV/0!</v>
      </c>
      <c r="AA274" s="147" t="e">
        <f>AVERAGE(Z274,Z275,Z276,Z279)</f>
        <v>#DIV/0!</v>
      </c>
      <c r="AB274" s="150"/>
      <c r="AC274" s="151"/>
      <c r="AD274" s="151"/>
      <c r="AE274" s="163"/>
      <c r="AF274" s="150"/>
      <c r="AG274" s="150"/>
      <c r="AH274" s="182" t="e">
        <f t="shared" ref="AH274" si="49">(AC274)/AB274</f>
        <v>#DIV/0!</v>
      </c>
    </row>
    <row r="275" spans="2:34" ht="35.1" customHeight="1" thickTop="1" thickBot="1" x14ac:dyDescent="0.25">
      <c r="B275" s="142"/>
      <c r="C275" s="142"/>
      <c r="D275" s="142"/>
      <c r="E275" s="142"/>
      <c r="F275" s="142"/>
      <c r="G275" s="142"/>
      <c r="H275" s="142"/>
      <c r="I275" s="159"/>
      <c r="J275" s="18" t="s">
        <v>29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e">
        <f t="shared" si="46"/>
        <v>#DIV/0!</v>
      </c>
      <c r="AA275" s="148"/>
      <c r="AB275" s="148"/>
      <c r="AC275" s="152"/>
      <c r="AD275" s="152"/>
      <c r="AE275" s="164"/>
      <c r="AF275" s="148"/>
      <c r="AG275" s="148"/>
      <c r="AH275" s="183"/>
    </row>
    <row r="276" spans="2:34" ht="35.1" customHeight="1" thickTop="1" thickBot="1" x14ac:dyDescent="0.25">
      <c r="B276" s="142"/>
      <c r="C276" s="142"/>
      <c r="D276" s="142"/>
      <c r="E276" s="142"/>
      <c r="F276" s="142"/>
      <c r="G276" s="142"/>
      <c r="H276" s="142"/>
      <c r="I276" s="159"/>
      <c r="J276" s="18" t="s">
        <v>28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e">
        <f t="shared" si="46"/>
        <v>#DIV/0!</v>
      </c>
      <c r="AA276" s="148"/>
      <c r="AB276" s="148"/>
      <c r="AC276" s="152"/>
      <c r="AD276" s="152"/>
      <c r="AE276" s="164"/>
      <c r="AF276" s="148"/>
      <c r="AG276" s="148"/>
      <c r="AH276" s="183"/>
    </row>
    <row r="277" spans="2:34" ht="35.1" customHeight="1" thickTop="1" thickBot="1" x14ac:dyDescent="0.25">
      <c r="B277" s="142"/>
      <c r="C277" s="142"/>
      <c r="D277" s="142"/>
      <c r="E277" s="142"/>
      <c r="F277" s="142"/>
      <c r="G277" s="142"/>
      <c r="H277" s="142"/>
      <c r="I277" s="159"/>
      <c r="J277" s="18" t="s">
        <v>27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e">
        <f t="shared" si="46"/>
        <v>#DIV/0!</v>
      </c>
      <c r="AA277" s="148"/>
      <c r="AB277" s="148"/>
      <c r="AC277" s="152"/>
      <c r="AD277" s="152"/>
      <c r="AE277" s="164"/>
      <c r="AF277" s="148"/>
      <c r="AG277" s="148"/>
      <c r="AH277" s="183"/>
    </row>
    <row r="278" spans="2:34" ht="35.1" customHeight="1" thickTop="1" thickBot="1" x14ac:dyDescent="0.25">
      <c r="B278" s="142"/>
      <c r="C278" s="142"/>
      <c r="D278" s="142"/>
      <c r="E278" s="142"/>
      <c r="F278" s="142"/>
      <c r="G278" s="142"/>
      <c r="H278" s="142"/>
      <c r="I278" s="159"/>
      <c r="J278" s="18" t="s">
        <v>26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e">
        <f t="shared" si="46"/>
        <v>#DIV/0!</v>
      </c>
      <c r="AA278" s="148"/>
      <c r="AB278" s="148"/>
      <c r="AC278" s="152"/>
      <c r="AD278" s="152"/>
      <c r="AE278" s="164"/>
      <c r="AF278" s="148"/>
      <c r="AG278" s="148"/>
      <c r="AH278" s="183"/>
    </row>
    <row r="279" spans="2:34" ht="35.1" customHeight="1" thickTop="1" thickBot="1" x14ac:dyDescent="0.25">
      <c r="B279" s="143"/>
      <c r="C279" s="143"/>
      <c r="D279" s="143"/>
      <c r="E279" s="143"/>
      <c r="F279" s="143"/>
      <c r="G279" s="143"/>
      <c r="H279" s="143"/>
      <c r="I279" s="160"/>
      <c r="J279" s="12" t="s">
        <v>25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e">
        <f t="shared" si="46"/>
        <v>#DIV/0!</v>
      </c>
      <c r="AA279" s="149"/>
      <c r="AB279" s="149"/>
      <c r="AC279" s="153"/>
      <c r="AD279" s="153"/>
      <c r="AE279" s="165"/>
      <c r="AF279" s="149"/>
      <c r="AG279" s="149"/>
      <c r="AH279" s="184"/>
    </row>
    <row r="280" spans="2:34" ht="35.1" customHeight="1" thickTop="1" thickBot="1" x14ac:dyDescent="0.25">
      <c r="B280" s="141"/>
      <c r="C280" s="141"/>
      <c r="D280" s="141"/>
      <c r="E280" s="141"/>
      <c r="F280" s="141"/>
      <c r="G280" s="141"/>
      <c r="H280" s="141"/>
      <c r="I280" s="158"/>
      <c r="J280" s="18" t="s">
        <v>30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e">
        <f t="shared" si="46"/>
        <v>#DIV/0!</v>
      </c>
      <c r="AA280" s="147" t="e">
        <f>AVERAGE(Z280,Z281,Z282,Z285)</f>
        <v>#DIV/0!</v>
      </c>
      <c r="AB280" s="150"/>
      <c r="AC280" s="151"/>
      <c r="AD280" s="151"/>
      <c r="AE280" s="163"/>
      <c r="AF280" s="150"/>
      <c r="AG280" s="150"/>
      <c r="AH280" s="182" t="e">
        <f t="shared" ref="AH280" si="50">(AC280)/AB280</f>
        <v>#DIV/0!</v>
      </c>
    </row>
    <row r="281" spans="2:34" ht="35.1" customHeight="1" thickTop="1" thickBot="1" x14ac:dyDescent="0.25">
      <c r="B281" s="142"/>
      <c r="C281" s="142"/>
      <c r="D281" s="142"/>
      <c r="E281" s="142"/>
      <c r="F281" s="142"/>
      <c r="G281" s="142"/>
      <c r="H281" s="142"/>
      <c r="I281" s="159"/>
      <c r="J281" s="18" t="s">
        <v>29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e">
        <f t="shared" si="46"/>
        <v>#DIV/0!</v>
      </c>
      <c r="AA281" s="148"/>
      <c r="AB281" s="148"/>
      <c r="AC281" s="152"/>
      <c r="AD281" s="152"/>
      <c r="AE281" s="164"/>
      <c r="AF281" s="148"/>
      <c r="AG281" s="148"/>
      <c r="AH281" s="183"/>
    </row>
    <row r="282" spans="2:34" ht="35.1" customHeight="1" thickTop="1" thickBot="1" x14ac:dyDescent="0.25">
      <c r="B282" s="142"/>
      <c r="C282" s="142"/>
      <c r="D282" s="142"/>
      <c r="E282" s="142"/>
      <c r="F282" s="142"/>
      <c r="G282" s="142"/>
      <c r="H282" s="142"/>
      <c r="I282" s="159"/>
      <c r="J282" s="18" t="s">
        <v>28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e">
        <f t="shared" si="46"/>
        <v>#DIV/0!</v>
      </c>
      <c r="AA282" s="148"/>
      <c r="AB282" s="148"/>
      <c r="AC282" s="152"/>
      <c r="AD282" s="152"/>
      <c r="AE282" s="164"/>
      <c r="AF282" s="148"/>
      <c r="AG282" s="148"/>
      <c r="AH282" s="183"/>
    </row>
    <row r="283" spans="2:34" ht="35.1" customHeight="1" thickTop="1" thickBot="1" x14ac:dyDescent="0.25">
      <c r="B283" s="142"/>
      <c r="C283" s="142"/>
      <c r="D283" s="142"/>
      <c r="E283" s="142"/>
      <c r="F283" s="142"/>
      <c r="G283" s="142"/>
      <c r="H283" s="142"/>
      <c r="I283" s="159"/>
      <c r="J283" s="18" t="s">
        <v>27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e">
        <f t="shared" si="46"/>
        <v>#DIV/0!</v>
      </c>
      <c r="AA283" s="148"/>
      <c r="AB283" s="148"/>
      <c r="AC283" s="152"/>
      <c r="AD283" s="152"/>
      <c r="AE283" s="164"/>
      <c r="AF283" s="148"/>
      <c r="AG283" s="148"/>
      <c r="AH283" s="183"/>
    </row>
    <row r="284" spans="2:34" ht="35.1" customHeight="1" thickTop="1" thickBot="1" x14ac:dyDescent="0.25">
      <c r="B284" s="142"/>
      <c r="C284" s="142"/>
      <c r="D284" s="142"/>
      <c r="E284" s="142"/>
      <c r="F284" s="142"/>
      <c r="G284" s="142"/>
      <c r="H284" s="142"/>
      <c r="I284" s="159"/>
      <c r="J284" s="18" t="s">
        <v>26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e">
        <f t="shared" si="46"/>
        <v>#DIV/0!</v>
      </c>
      <c r="AA284" s="148"/>
      <c r="AB284" s="148"/>
      <c r="AC284" s="152"/>
      <c r="AD284" s="152"/>
      <c r="AE284" s="164"/>
      <c r="AF284" s="148"/>
      <c r="AG284" s="148"/>
      <c r="AH284" s="183"/>
    </row>
    <row r="285" spans="2:34" ht="35.1" customHeight="1" thickTop="1" thickBot="1" x14ac:dyDescent="0.25">
      <c r="B285" s="143"/>
      <c r="C285" s="143"/>
      <c r="D285" s="143"/>
      <c r="E285" s="143"/>
      <c r="F285" s="143"/>
      <c r="G285" s="143"/>
      <c r="H285" s="143"/>
      <c r="I285" s="160"/>
      <c r="J285" s="12" t="s">
        <v>25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e">
        <f t="shared" si="46"/>
        <v>#DIV/0!</v>
      </c>
      <c r="AA285" s="149"/>
      <c r="AB285" s="149"/>
      <c r="AC285" s="153"/>
      <c r="AD285" s="153"/>
      <c r="AE285" s="165"/>
      <c r="AF285" s="149"/>
      <c r="AG285" s="149"/>
      <c r="AH285" s="184"/>
    </row>
    <row r="286" spans="2:34" ht="35.1" customHeight="1" thickTop="1" thickBot="1" x14ac:dyDescent="0.25">
      <c r="B286" s="141"/>
      <c r="C286" s="141"/>
      <c r="D286" s="141"/>
      <c r="E286" s="141"/>
      <c r="F286" s="141"/>
      <c r="G286" s="141"/>
      <c r="H286" s="141"/>
      <c r="I286" s="158"/>
      <c r="J286" s="18" t="s">
        <v>30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e">
        <f t="shared" si="46"/>
        <v>#DIV/0!</v>
      </c>
      <c r="AA286" s="147" t="e">
        <f>AVERAGE(Z286,Z287,Z288,Z291)</f>
        <v>#DIV/0!</v>
      </c>
      <c r="AB286" s="150"/>
      <c r="AC286" s="151"/>
      <c r="AD286" s="151"/>
      <c r="AE286" s="163"/>
      <c r="AF286" s="150"/>
      <c r="AG286" s="150"/>
      <c r="AH286" s="182" t="e">
        <f t="shared" ref="AH286" si="51">(AC286)/AB286</f>
        <v>#DIV/0!</v>
      </c>
    </row>
    <row r="287" spans="2:34" ht="35.1" customHeight="1" thickTop="1" thickBot="1" x14ac:dyDescent="0.25">
      <c r="B287" s="142"/>
      <c r="C287" s="142"/>
      <c r="D287" s="142"/>
      <c r="E287" s="142"/>
      <c r="F287" s="142"/>
      <c r="G287" s="142"/>
      <c r="H287" s="142"/>
      <c r="I287" s="159"/>
      <c r="J287" s="18" t="s">
        <v>29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e">
        <f t="shared" si="46"/>
        <v>#DIV/0!</v>
      </c>
      <c r="AA287" s="148"/>
      <c r="AB287" s="148"/>
      <c r="AC287" s="152"/>
      <c r="AD287" s="152"/>
      <c r="AE287" s="164"/>
      <c r="AF287" s="148"/>
      <c r="AG287" s="148"/>
      <c r="AH287" s="183"/>
    </row>
    <row r="288" spans="2:34" ht="35.1" customHeight="1" thickTop="1" thickBot="1" x14ac:dyDescent="0.25">
      <c r="B288" s="142"/>
      <c r="C288" s="142"/>
      <c r="D288" s="142"/>
      <c r="E288" s="142"/>
      <c r="F288" s="142"/>
      <c r="G288" s="142"/>
      <c r="H288" s="142"/>
      <c r="I288" s="159"/>
      <c r="J288" s="18" t="s">
        <v>28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e">
        <f t="shared" si="46"/>
        <v>#DIV/0!</v>
      </c>
      <c r="AA288" s="148"/>
      <c r="AB288" s="148"/>
      <c r="AC288" s="152"/>
      <c r="AD288" s="152"/>
      <c r="AE288" s="164"/>
      <c r="AF288" s="148"/>
      <c r="AG288" s="148"/>
      <c r="AH288" s="183"/>
    </row>
    <row r="289" spans="2:34" ht="35.1" customHeight="1" thickTop="1" thickBot="1" x14ac:dyDescent="0.25">
      <c r="B289" s="142"/>
      <c r="C289" s="142"/>
      <c r="D289" s="142"/>
      <c r="E289" s="142"/>
      <c r="F289" s="142"/>
      <c r="G289" s="142"/>
      <c r="H289" s="142"/>
      <c r="I289" s="159"/>
      <c r="J289" s="18" t="s">
        <v>27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e">
        <f t="shared" si="46"/>
        <v>#DIV/0!</v>
      </c>
      <c r="AA289" s="148"/>
      <c r="AB289" s="148"/>
      <c r="AC289" s="152"/>
      <c r="AD289" s="152"/>
      <c r="AE289" s="164"/>
      <c r="AF289" s="148"/>
      <c r="AG289" s="148"/>
      <c r="AH289" s="183"/>
    </row>
    <row r="290" spans="2:34" ht="35.1" customHeight="1" thickTop="1" thickBot="1" x14ac:dyDescent="0.25">
      <c r="B290" s="142"/>
      <c r="C290" s="142"/>
      <c r="D290" s="142"/>
      <c r="E290" s="142"/>
      <c r="F290" s="142"/>
      <c r="G290" s="142"/>
      <c r="H290" s="142"/>
      <c r="I290" s="159"/>
      <c r="J290" s="18" t="s">
        <v>26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e">
        <f t="shared" si="46"/>
        <v>#DIV/0!</v>
      </c>
      <c r="AA290" s="148"/>
      <c r="AB290" s="148"/>
      <c r="AC290" s="152"/>
      <c r="AD290" s="152"/>
      <c r="AE290" s="164"/>
      <c r="AF290" s="148"/>
      <c r="AG290" s="148"/>
      <c r="AH290" s="183"/>
    </row>
    <row r="291" spans="2:34" ht="35.1" customHeight="1" thickTop="1" thickBot="1" x14ac:dyDescent="0.25">
      <c r="B291" s="143"/>
      <c r="C291" s="143"/>
      <c r="D291" s="143"/>
      <c r="E291" s="143"/>
      <c r="F291" s="143"/>
      <c r="G291" s="143"/>
      <c r="H291" s="143"/>
      <c r="I291" s="160"/>
      <c r="J291" s="12" t="s">
        <v>25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e">
        <f t="shared" si="46"/>
        <v>#DIV/0!</v>
      </c>
      <c r="AA291" s="149"/>
      <c r="AB291" s="149"/>
      <c r="AC291" s="153"/>
      <c r="AD291" s="153"/>
      <c r="AE291" s="165"/>
      <c r="AF291" s="149"/>
      <c r="AG291" s="149"/>
      <c r="AH291" s="184"/>
    </row>
    <row r="292" spans="2:34" ht="35.1" customHeight="1" thickTop="1" thickBot="1" x14ac:dyDescent="0.25">
      <c r="B292" s="141"/>
      <c r="C292" s="141"/>
      <c r="D292" s="141"/>
      <c r="E292" s="141"/>
      <c r="F292" s="141"/>
      <c r="G292" s="141"/>
      <c r="H292" s="141"/>
      <c r="I292" s="158"/>
      <c r="J292" s="18" t="s">
        <v>30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e">
        <f t="shared" si="46"/>
        <v>#DIV/0!</v>
      </c>
      <c r="AA292" s="147" t="e">
        <f>AVERAGE(Z292,Z293,Z294,Z297)</f>
        <v>#DIV/0!</v>
      </c>
      <c r="AB292" s="150"/>
      <c r="AC292" s="151"/>
      <c r="AD292" s="151"/>
      <c r="AE292" s="163"/>
      <c r="AF292" s="150"/>
      <c r="AG292" s="150"/>
      <c r="AH292" s="182" t="e">
        <f t="shared" ref="AH292" si="52">(AC292)/AB292</f>
        <v>#DIV/0!</v>
      </c>
    </row>
    <row r="293" spans="2:34" ht="35.1" customHeight="1" thickTop="1" thickBot="1" x14ac:dyDescent="0.25">
      <c r="B293" s="142"/>
      <c r="C293" s="142"/>
      <c r="D293" s="142"/>
      <c r="E293" s="142"/>
      <c r="F293" s="142"/>
      <c r="G293" s="142"/>
      <c r="H293" s="142"/>
      <c r="I293" s="159"/>
      <c r="J293" s="18" t="s">
        <v>29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e">
        <f t="shared" si="46"/>
        <v>#DIV/0!</v>
      </c>
      <c r="AA293" s="148"/>
      <c r="AB293" s="148"/>
      <c r="AC293" s="152"/>
      <c r="AD293" s="152"/>
      <c r="AE293" s="164"/>
      <c r="AF293" s="148"/>
      <c r="AG293" s="148"/>
      <c r="AH293" s="183"/>
    </row>
    <row r="294" spans="2:34" ht="35.1" customHeight="1" thickTop="1" thickBot="1" x14ac:dyDescent="0.25">
      <c r="B294" s="142"/>
      <c r="C294" s="142"/>
      <c r="D294" s="142"/>
      <c r="E294" s="142"/>
      <c r="F294" s="142"/>
      <c r="G294" s="142"/>
      <c r="H294" s="142"/>
      <c r="I294" s="159"/>
      <c r="J294" s="18" t="s">
        <v>28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e">
        <f t="shared" si="46"/>
        <v>#DIV/0!</v>
      </c>
      <c r="AA294" s="148"/>
      <c r="AB294" s="148"/>
      <c r="AC294" s="152"/>
      <c r="AD294" s="152"/>
      <c r="AE294" s="164"/>
      <c r="AF294" s="148"/>
      <c r="AG294" s="148"/>
      <c r="AH294" s="183"/>
    </row>
    <row r="295" spans="2:34" ht="35.1" customHeight="1" thickTop="1" thickBot="1" x14ac:dyDescent="0.25">
      <c r="B295" s="142"/>
      <c r="C295" s="142"/>
      <c r="D295" s="142"/>
      <c r="E295" s="142"/>
      <c r="F295" s="142"/>
      <c r="G295" s="142"/>
      <c r="H295" s="142"/>
      <c r="I295" s="159"/>
      <c r="J295" s="18" t="s">
        <v>27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e">
        <f t="shared" si="46"/>
        <v>#DIV/0!</v>
      </c>
      <c r="AA295" s="148"/>
      <c r="AB295" s="148"/>
      <c r="AC295" s="152"/>
      <c r="AD295" s="152"/>
      <c r="AE295" s="164"/>
      <c r="AF295" s="148"/>
      <c r="AG295" s="148"/>
      <c r="AH295" s="183"/>
    </row>
    <row r="296" spans="2:34" ht="35.1" customHeight="1" thickTop="1" thickBot="1" x14ac:dyDescent="0.25">
      <c r="B296" s="142"/>
      <c r="C296" s="142"/>
      <c r="D296" s="142"/>
      <c r="E296" s="142"/>
      <c r="F296" s="142"/>
      <c r="G296" s="142"/>
      <c r="H296" s="142"/>
      <c r="I296" s="159"/>
      <c r="J296" s="18" t="s">
        <v>26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e">
        <f t="shared" si="46"/>
        <v>#DIV/0!</v>
      </c>
      <c r="AA296" s="148"/>
      <c r="AB296" s="148"/>
      <c r="AC296" s="152"/>
      <c r="AD296" s="152"/>
      <c r="AE296" s="164"/>
      <c r="AF296" s="148"/>
      <c r="AG296" s="148"/>
      <c r="AH296" s="183"/>
    </row>
    <row r="297" spans="2:34" ht="35.1" customHeight="1" thickTop="1" thickBot="1" x14ac:dyDescent="0.25">
      <c r="B297" s="143"/>
      <c r="C297" s="143"/>
      <c r="D297" s="143"/>
      <c r="E297" s="143"/>
      <c r="F297" s="143"/>
      <c r="G297" s="143"/>
      <c r="H297" s="143"/>
      <c r="I297" s="160"/>
      <c r="J297" s="12" t="s">
        <v>25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e">
        <f t="shared" si="46"/>
        <v>#DIV/0!</v>
      </c>
      <c r="AA297" s="149"/>
      <c r="AB297" s="149"/>
      <c r="AC297" s="153"/>
      <c r="AD297" s="153"/>
      <c r="AE297" s="165"/>
      <c r="AF297" s="149"/>
      <c r="AG297" s="149"/>
      <c r="AH297" s="184"/>
    </row>
    <row r="298" spans="2:34" ht="35.1" customHeight="1" thickTop="1" thickBot="1" x14ac:dyDescent="0.25">
      <c r="B298" s="141"/>
      <c r="C298" s="141"/>
      <c r="D298" s="141"/>
      <c r="E298" s="141"/>
      <c r="F298" s="141"/>
      <c r="G298" s="141"/>
      <c r="H298" s="141"/>
      <c r="I298" s="158"/>
      <c r="J298" s="18" t="s">
        <v>30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e">
        <f t="shared" si="46"/>
        <v>#DIV/0!</v>
      </c>
      <c r="AA298" s="147" t="e">
        <f>AVERAGE(Z298,Z299,Z300,Z303)</f>
        <v>#DIV/0!</v>
      </c>
      <c r="AB298" s="150"/>
      <c r="AC298" s="151"/>
      <c r="AD298" s="151"/>
      <c r="AE298" s="163"/>
      <c r="AF298" s="150"/>
      <c r="AG298" s="150"/>
      <c r="AH298" s="182" t="e">
        <f t="shared" ref="AH298" si="53">(AC298)/AB298</f>
        <v>#DIV/0!</v>
      </c>
    </row>
    <row r="299" spans="2:34" ht="35.1" customHeight="1" thickTop="1" thickBot="1" x14ac:dyDescent="0.25">
      <c r="B299" s="142"/>
      <c r="C299" s="142"/>
      <c r="D299" s="142"/>
      <c r="E299" s="142"/>
      <c r="F299" s="142"/>
      <c r="G299" s="142"/>
      <c r="H299" s="142"/>
      <c r="I299" s="159"/>
      <c r="J299" s="18" t="s">
        <v>29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e">
        <f t="shared" si="46"/>
        <v>#DIV/0!</v>
      </c>
      <c r="AA299" s="148"/>
      <c r="AB299" s="148"/>
      <c r="AC299" s="152"/>
      <c r="AD299" s="152"/>
      <c r="AE299" s="164"/>
      <c r="AF299" s="148"/>
      <c r="AG299" s="148"/>
      <c r="AH299" s="183"/>
    </row>
    <row r="300" spans="2:34" ht="35.1" customHeight="1" thickTop="1" thickBot="1" x14ac:dyDescent="0.25">
      <c r="B300" s="142"/>
      <c r="C300" s="142"/>
      <c r="D300" s="142"/>
      <c r="E300" s="142"/>
      <c r="F300" s="142"/>
      <c r="G300" s="142"/>
      <c r="H300" s="142"/>
      <c r="I300" s="159"/>
      <c r="J300" s="18" t="s">
        <v>28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e">
        <f t="shared" si="46"/>
        <v>#DIV/0!</v>
      </c>
      <c r="AA300" s="148"/>
      <c r="AB300" s="148"/>
      <c r="AC300" s="152"/>
      <c r="AD300" s="152"/>
      <c r="AE300" s="164"/>
      <c r="AF300" s="148"/>
      <c r="AG300" s="148"/>
      <c r="AH300" s="183"/>
    </row>
    <row r="301" spans="2:34" ht="35.1" customHeight="1" thickTop="1" thickBot="1" x14ac:dyDescent="0.25">
      <c r="B301" s="142"/>
      <c r="C301" s="142"/>
      <c r="D301" s="142"/>
      <c r="E301" s="142"/>
      <c r="F301" s="142"/>
      <c r="G301" s="142"/>
      <c r="H301" s="142"/>
      <c r="I301" s="159"/>
      <c r="J301" s="18" t="s">
        <v>27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e">
        <f t="shared" si="46"/>
        <v>#DIV/0!</v>
      </c>
      <c r="AA301" s="148"/>
      <c r="AB301" s="148"/>
      <c r="AC301" s="152"/>
      <c r="AD301" s="152"/>
      <c r="AE301" s="164"/>
      <c r="AF301" s="148"/>
      <c r="AG301" s="148"/>
      <c r="AH301" s="183"/>
    </row>
    <row r="302" spans="2:34" ht="35.1" customHeight="1" thickTop="1" thickBot="1" x14ac:dyDescent="0.25">
      <c r="B302" s="142"/>
      <c r="C302" s="142"/>
      <c r="D302" s="142"/>
      <c r="E302" s="142"/>
      <c r="F302" s="142"/>
      <c r="G302" s="142"/>
      <c r="H302" s="142"/>
      <c r="I302" s="159"/>
      <c r="J302" s="18" t="s">
        <v>26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e">
        <f t="shared" si="46"/>
        <v>#DIV/0!</v>
      </c>
      <c r="AA302" s="148"/>
      <c r="AB302" s="148"/>
      <c r="AC302" s="152"/>
      <c r="AD302" s="152"/>
      <c r="AE302" s="164"/>
      <c r="AF302" s="148"/>
      <c r="AG302" s="148"/>
      <c r="AH302" s="183"/>
    </row>
    <row r="303" spans="2:34" ht="35.1" customHeight="1" thickTop="1" thickBot="1" x14ac:dyDescent="0.25">
      <c r="B303" s="143"/>
      <c r="C303" s="143"/>
      <c r="D303" s="143"/>
      <c r="E303" s="143"/>
      <c r="F303" s="143"/>
      <c r="G303" s="143"/>
      <c r="H303" s="143"/>
      <c r="I303" s="160"/>
      <c r="J303" s="12" t="s">
        <v>25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e">
        <f t="shared" si="46"/>
        <v>#DIV/0!</v>
      </c>
      <c r="AA303" s="149"/>
      <c r="AB303" s="149"/>
      <c r="AC303" s="153"/>
      <c r="AD303" s="153"/>
      <c r="AE303" s="165"/>
      <c r="AF303" s="149"/>
      <c r="AG303" s="149"/>
      <c r="AH303" s="184"/>
    </row>
    <row r="304" spans="2:34" ht="35.1" customHeight="1" thickTop="1" thickBot="1" x14ac:dyDescent="0.25">
      <c r="B304" s="141"/>
      <c r="C304" s="141"/>
      <c r="D304" s="141"/>
      <c r="E304" s="141"/>
      <c r="F304" s="141"/>
      <c r="G304" s="141"/>
      <c r="H304" s="141"/>
      <c r="I304" s="158"/>
      <c r="J304" s="18" t="s">
        <v>30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e">
        <f t="shared" si="46"/>
        <v>#DIV/0!</v>
      </c>
      <c r="AA304" s="147" t="e">
        <f>AVERAGE(Z304,Z305,Z306,Z309)</f>
        <v>#DIV/0!</v>
      </c>
      <c r="AB304" s="150"/>
      <c r="AC304" s="151"/>
      <c r="AD304" s="151"/>
      <c r="AE304" s="163"/>
      <c r="AF304" s="150"/>
      <c r="AG304" s="150"/>
      <c r="AH304" s="182" t="e">
        <f t="shared" ref="AH304" si="54">(AC304)/AB304</f>
        <v>#DIV/0!</v>
      </c>
    </row>
    <row r="305" spans="2:34" ht="35.1" customHeight="1" thickTop="1" thickBot="1" x14ac:dyDescent="0.25">
      <c r="B305" s="142"/>
      <c r="C305" s="142"/>
      <c r="D305" s="142"/>
      <c r="E305" s="142"/>
      <c r="F305" s="142"/>
      <c r="G305" s="142"/>
      <c r="H305" s="142"/>
      <c r="I305" s="159"/>
      <c r="J305" s="18" t="s">
        <v>29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e">
        <f t="shared" si="46"/>
        <v>#DIV/0!</v>
      </c>
      <c r="AA305" s="148"/>
      <c r="AB305" s="148"/>
      <c r="AC305" s="152"/>
      <c r="AD305" s="152"/>
      <c r="AE305" s="164"/>
      <c r="AF305" s="148"/>
      <c r="AG305" s="148"/>
      <c r="AH305" s="183"/>
    </row>
    <row r="306" spans="2:34" ht="35.1" customHeight="1" thickTop="1" thickBot="1" x14ac:dyDescent="0.25">
      <c r="B306" s="142"/>
      <c r="C306" s="142"/>
      <c r="D306" s="142"/>
      <c r="E306" s="142"/>
      <c r="F306" s="142"/>
      <c r="G306" s="142"/>
      <c r="H306" s="142"/>
      <c r="I306" s="159"/>
      <c r="J306" s="18" t="s">
        <v>28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e">
        <f t="shared" si="46"/>
        <v>#DIV/0!</v>
      </c>
      <c r="AA306" s="148"/>
      <c r="AB306" s="148"/>
      <c r="AC306" s="152"/>
      <c r="AD306" s="152"/>
      <c r="AE306" s="164"/>
      <c r="AF306" s="148"/>
      <c r="AG306" s="148"/>
      <c r="AH306" s="183"/>
    </row>
    <row r="307" spans="2:34" ht="35.1" customHeight="1" thickTop="1" thickBot="1" x14ac:dyDescent="0.25">
      <c r="B307" s="142"/>
      <c r="C307" s="142"/>
      <c r="D307" s="142"/>
      <c r="E307" s="142"/>
      <c r="F307" s="142"/>
      <c r="G307" s="142"/>
      <c r="H307" s="142"/>
      <c r="I307" s="159"/>
      <c r="J307" s="18" t="s">
        <v>27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e">
        <f t="shared" si="46"/>
        <v>#DIV/0!</v>
      </c>
      <c r="AA307" s="148"/>
      <c r="AB307" s="148"/>
      <c r="AC307" s="152"/>
      <c r="AD307" s="152"/>
      <c r="AE307" s="164"/>
      <c r="AF307" s="148"/>
      <c r="AG307" s="148"/>
      <c r="AH307" s="183"/>
    </row>
    <row r="308" spans="2:34" ht="35.1" customHeight="1" thickTop="1" thickBot="1" x14ac:dyDescent="0.25">
      <c r="B308" s="142"/>
      <c r="C308" s="142"/>
      <c r="D308" s="142"/>
      <c r="E308" s="142"/>
      <c r="F308" s="142"/>
      <c r="G308" s="142"/>
      <c r="H308" s="142"/>
      <c r="I308" s="159"/>
      <c r="J308" s="18" t="s">
        <v>26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e">
        <f t="shared" si="46"/>
        <v>#DIV/0!</v>
      </c>
      <c r="AA308" s="148"/>
      <c r="AB308" s="148"/>
      <c r="AC308" s="152"/>
      <c r="AD308" s="152"/>
      <c r="AE308" s="164"/>
      <c r="AF308" s="148"/>
      <c r="AG308" s="148"/>
      <c r="AH308" s="183"/>
    </row>
    <row r="309" spans="2:34" ht="35.1" customHeight="1" thickTop="1" thickBot="1" x14ac:dyDescent="0.25">
      <c r="B309" s="143"/>
      <c r="C309" s="143"/>
      <c r="D309" s="143"/>
      <c r="E309" s="143"/>
      <c r="F309" s="143"/>
      <c r="G309" s="143"/>
      <c r="H309" s="143"/>
      <c r="I309" s="160"/>
      <c r="J309" s="12" t="s">
        <v>25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e">
        <f t="shared" si="46"/>
        <v>#DIV/0!</v>
      </c>
      <c r="AA309" s="149"/>
      <c r="AB309" s="149"/>
      <c r="AC309" s="153"/>
      <c r="AD309" s="153"/>
      <c r="AE309" s="165"/>
      <c r="AF309" s="149"/>
      <c r="AG309" s="149"/>
      <c r="AH309" s="184"/>
    </row>
    <row r="310" spans="2:34" ht="35.1" customHeight="1" thickTop="1" thickBot="1" x14ac:dyDescent="0.25">
      <c r="B310" s="141"/>
      <c r="C310" s="141"/>
      <c r="D310" s="141"/>
      <c r="E310" s="141"/>
      <c r="F310" s="141"/>
      <c r="G310" s="141"/>
      <c r="H310" s="141"/>
      <c r="I310" s="158"/>
      <c r="J310" s="18" t="s">
        <v>30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e">
        <f t="shared" si="46"/>
        <v>#DIV/0!</v>
      </c>
      <c r="AA310" s="147" t="e">
        <f>AVERAGE(Z310,Z311,Z312,Z315)</f>
        <v>#DIV/0!</v>
      </c>
      <c r="AB310" s="150"/>
      <c r="AC310" s="151"/>
      <c r="AD310" s="151"/>
      <c r="AE310" s="163"/>
      <c r="AF310" s="150"/>
      <c r="AG310" s="150"/>
      <c r="AH310" s="182" t="e">
        <f t="shared" ref="AH310" si="55">(AC310)/AB310</f>
        <v>#DIV/0!</v>
      </c>
    </row>
    <row r="311" spans="2:34" ht="35.1" customHeight="1" thickTop="1" thickBot="1" x14ac:dyDescent="0.25">
      <c r="B311" s="142"/>
      <c r="C311" s="142"/>
      <c r="D311" s="142"/>
      <c r="E311" s="142"/>
      <c r="F311" s="142"/>
      <c r="G311" s="142"/>
      <c r="H311" s="142"/>
      <c r="I311" s="159"/>
      <c r="J311" s="18" t="s">
        <v>29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e">
        <f t="shared" si="46"/>
        <v>#DIV/0!</v>
      </c>
      <c r="AA311" s="148"/>
      <c r="AB311" s="148"/>
      <c r="AC311" s="152"/>
      <c r="AD311" s="152"/>
      <c r="AE311" s="164"/>
      <c r="AF311" s="148"/>
      <c r="AG311" s="148"/>
      <c r="AH311" s="183"/>
    </row>
    <row r="312" spans="2:34" ht="35.1" customHeight="1" thickTop="1" thickBot="1" x14ac:dyDescent="0.25">
      <c r="B312" s="142"/>
      <c r="C312" s="142"/>
      <c r="D312" s="142"/>
      <c r="E312" s="142"/>
      <c r="F312" s="142"/>
      <c r="G312" s="142"/>
      <c r="H312" s="142"/>
      <c r="I312" s="159"/>
      <c r="J312" s="18" t="s">
        <v>28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e">
        <f t="shared" si="46"/>
        <v>#DIV/0!</v>
      </c>
      <c r="AA312" s="148"/>
      <c r="AB312" s="148"/>
      <c r="AC312" s="152"/>
      <c r="AD312" s="152"/>
      <c r="AE312" s="164"/>
      <c r="AF312" s="148"/>
      <c r="AG312" s="148"/>
      <c r="AH312" s="183"/>
    </row>
    <row r="313" spans="2:34" ht="35.1" customHeight="1" thickTop="1" thickBot="1" x14ac:dyDescent="0.25">
      <c r="B313" s="142"/>
      <c r="C313" s="142"/>
      <c r="D313" s="142"/>
      <c r="E313" s="142"/>
      <c r="F313" s="142"/>
      <c r="G313" s="142"/>
      <c r="H313" s="142"/>
      <c r="I313" s="159"/>
      <c r="J313" s="18" t="s">
        <v>27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e">
        <f t="shared" si="46"/>
        <v>#DIV/0!</v>
      </c>
      <c r="AA313" s="148"/>
      <c r="AB313" s="148"/>
      <c r="AC313" s="152"/>
      <c r="AD313" s="152"/>
      <c r="AE313" s="164"/>
      <c r="AF313" s="148"/>
      <c r="AG313" s="148"/>
      <c r="AH313" s="183"/>
    </row>
    <row r="314" spans="2:34" ht="35.1" customHeight="1" thickTop="1" thickBot="1" x14ac:dyDescent="0.25">
      <c r="B314" s="142"/>
      <c r="C314" s="142"/>
      <c r="D314" s="142"/>
      <c r="E314" s="142"/>
      <c r="F314" s="142"/>
      <c r="G314" s="142"/>
      <c r="H314" s="142"/>
      <c r="I314" s="159"/>
      <c r="J314" s="18" t="s">
        <v>26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e">
        <f t="shared" si="46"/>
        <v>#DIV/0!</v>
      </c>
      <c r="AA314" s="148"/>
      <c r="AB314" s="148"/>
      <c r="AC314" s="152"/>
      <c r="AD314" s="152"/>
      <c r="AE314" s="164"/>
      <c r="AF314" s="148"/>
      <c r="AG314" s="148"/>
      <c r="AH314" s="183"/>
    </row>
    <row r="315" spans="2:34" ht="35.1" customHeight="1" thickTop="1" thickBot="1" x14ac:dyDescent="0.25">
      <c r="B315" s="143"/>
      <c r="C315" s="143"/>
      <c r="D315" s="143"/>
      <c r="E315" s="143"/>
      <c r="F315" s="143"/>
      <c r="G315" s="143"/>
      <c r="H315" s="143"/>
      <c r="I315" s="160"/>
      <c r="J315" s="12" t="s">
        <v>25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e">
        <f t="shared" si="46"/>
        <v>#DIV/0!</v>
      </c>
      <c r="AA315" s="149"/>
      <c r="AB315" s="149"/>
      <c r="AC315" s="153"/>
      <c r="AD315" s="153"/>
      <c r="AE315" s="165"/>
      <c r="AF315" s="149"/>
      <c r="AG315" s="149"/>
      <c r="AH315" s="184"/>
    </row>
    <row r="316" spans="2:34" ht="35.1" customHeight="1" thickTop="1" thickBot="1" x14ac:dyDescent="0.25">
      <c r="B316" s="141"/>
      <c r="C316" s="141"/>
      <c r="D316" s="141"/>
      <c r="E316" s="141"/>
      <c r="F316" s="141"/>
      <c r="G316" s="141"/>
      <c r="H316" s="141"/>
      <c r="I316" s="158"/>
      <c r="J316" s="18" t="s">
        <v>30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e">
        <f t="shared" si="46"/>
        <v>#DIV/0!</v>
      </c>
      <c r="AA316" s="147" t="e">
        <f>AVERAGE(Z316,Z317,Z318,Z321)</f>
        <v>#DIV/0!</v>
      </c>
      <c r="AB316" s="150"/>
      <c r="AC316" s="151"/>
      <c r="AD316" s="151"/>
      <c r="AE316" s="163"/>
      <c r="AF316" s="150"/>
      <c r="AG316" s="150"/>
      <c r="AH316" s="182" t="e">
        <f t="shared" ref="AH316" si="56">(AC316)/AB316</f>
        <v>#DIV/0!</v>
      </c>
    </row>
    <row r="317" spans="2:34" ht="35.1" customHeight="1" thickTop="1" thickBot="1" x14ac:dyDescent="0.25">
      <c r="B317" s="142"/>
      <c r="C317" s="142"/>
      <c r="D317" s="142"/>
      <c r="E317" s="142"/>
      <c r="F317" s="142"/>
      <c r="G317" s="142"/>
      <c r="H317" s="142"/>
      <c r="I317" s="159"/>
      <c r="J317" s="18" t="s">
        <v>29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e">
        <f t="shared" si="46"/>
        <v>#DIV/0!</v>
      </c>
      <c r="AA317" s="148"/>
      <c r="AB317" s="148"/>
      <c r="AC317" s="152"/>
      <c r="AD317" s="152"/>
      <c r="AE317" s="164"/>
      <c r="AF317" s="148"/>
      <c r="AG317" s="148"/>
      <c r="AH317" s="183"/>
    </row>
    <row r="318" spans="2:34" ht="35.1" customHeight="1" thickTop="1" thickBot="1" x14ac:dyDescent="0.25">
      <c r="B318" s="142"/>
      <c r="C318" s="142"/>
      <c r="D318" s="142"/>
      <c r="E318" s="142"/>
      <c r="F318" s="142"/>
      <c r="G318" s="142"/>
      <c r="H318" s="142"/>
      <c r="I318" s="159"/>
      <c r="J318" s="18" t="s">
        <v>28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e">
        <f t="shared" si="46"/>
        <v>#DIV/0!</v>
      </c>
      <c r="AA318" s="148"/>
      <c r="AB318" s="148"/>
      <c r="AC318" s="152"/>
      <c r="AD318" s="152"/>
      <c r="AE318" s="164"/>
      <c r="AF318" s="148"/>
      <c r="AG318" s="148"/>
      <c r="AH318" s="183"/>
    </row>
    <row r="319" spans="2:34" ht="35.1" customHeight="1" thickTop="1" thickBot="1" x14ac:dyDescent="0.25">
      <c r="B319" s="142"/>
      <c r="C319" s="142"/>
      <c r="D319" s="142"/>
      <c r="E319" s="142"/>
      <c r="F319" s="142"/>
      <c r="G319" s="142"/>
      <c r="H319" s="142"/>
      <c r="I319" s="159"/>
      <c r="J319" s="18" t="s">
        <v>27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e">
        <f t="shared" si="46"/>
        <v>#DIV/0!</v>
      </c>
      <c r="AA319" s="148"/>
      <c r="AB319" s="148"/>
      <c r="AC319" s="152"/>
      <c r="AD319" s="152"/>
      <c r="AE319" s="164"/>
      <c r="AF319" s="148"/>
      <c r="AG319" s="148"/>
      <c r="AH319" s="183"/>
    </row>
    <row r="320" spans="2:34" ht="35.1" customHeight="1" thickTop="1" thickBot="1" x14ac:dyDescent="0.25">
      <c r="B320" s="142"/>
      <c r="C320" s="142"/>
      <c r="D320" s="142"/>
      <c r="E320" s="142"/>
      <c r="F320" s="142"/>
      <c r="G320" s="142"/>
      <c r="H320" s="142"/>
      <c r="I320" s="159"/>
      <c r="J320" s="18" t="s">
        <v>26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e">
        <f t="shared" si="46"/>
        <v>#DIV/0!</v>
      </c>
      <c r="AA320" s="148"/>
      <c r="AB320" s="148"/>
      <c r="AC320" s="152"/>
      <c r="AD320" s="152"/>
      <c r="AE320" s="164"/>
      <c r="AF320" s="148"/>
      <c r="AG320" s="148"/>
      <c r="AH320" s="183"/>
    </row>
    <row r="321" spans="2:34" ht="35.1" customHeight="1" thickTop="1" thickBot="1" x14ac:dyDescent="0.25">
      <c r="B321" s="143"/>
      <c r="C321" s="143"/>
      <c r="D321" s="143"/>
      <c r="E321" s="143"/>
      <c r="F321" s="143"/>
      <c r="G321" s="143"/>
      <c r="H321" s="143"/>
      <c r="I321" s="160"/>
      <c r="J321" s="12" t="s">
        <v>25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e">
        <f t="shared" si="46"/>
        <v>#DIV/0!</v>
      </c>
      <c r="AA321" s="149"/>
      <c r="AB321" s="149"/>
      <c r="AC321" s="153"/>
      <c r="AD321" s="153"/>
      <c r="AE321" s="165"/>
      <c r="AF321" s="149"/>
      <c r="AG321" s="149"/>
      <c r="AH321" s="184"/>
    </row>
    <row r="322" spans="2:34" ht="35.1" customHeight="1" thickTop="1" thickBot="1" x14ac:dyDescent="0.25">
      <c r="B322" s="141"/>
      <c r="C322" s="141"/>
      <c r="D322" s="141"/>
      <c r="E322" s="141"/>
      <c r="F322" s="141"/>
      <c r="G322" s="141"/>
      <c r="H322" s="141"/>
      <c r="I322" s="158"/>
      <c r="J322" s="18" t="s">
        <v>30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e">
        <f t="shared" si="46"/>
        <v>#DIV/0!</v>
      </c>
      <c r="AA322" s="147" t="e">
        <f>AVERAGE(Z322,Z323,Z324,Z327)</f>
        <v>#DIV/0!</v>
      </c>
      <c r="AB322" s="150"/>
      <c r="AC322" s="151"/>
      <c r="AD322" s="151"/>
      <c r="AE322" s="163"/>
      <c r="AF322" s="150"/>
      <c r="AG322" s="150"/>
      <c r="AH322" s="182" t="e">
        <f t="shared" ref="AH322" si="57">(AC322)/AB322</f>
        <v>#DIV/0!</v>
      </c>
    </row>
    <row r="323" spans="2:34" ht="35.1" customHeight="1" thickTop="1" thickBot="1" x14ac:dyDescent="0.25">
      <c r="B323" s="142"/>
      <c r="C323" s="142"/>
      <c r="D323" s="142"/>
      <c r="E323" s="142"/>
      <c r="F323" s="142"/>
      <c r="G323" s="142"/>
      <c r="H323" s="142"/>
      <c r="I323" s="159"/>
      <c r="J323" s="18" t="s">
        <v>29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e">
        <f t="shared" si="46"/>
        <v>#DIV/0!</v>
      </c>
      <c r="AA323" s="148"/>
      <c r="AB323" s="148"/>
      <c r="AC323" s="152"/>
      <c r="AD323" s="152"/>
      <c r="AE323" s="164"/>
      <c r="AF323" s="148"/>
      <c r="AG323" s="148"/>
      <c r="AH323" s="183"/>
    </row>
    <row r="324" spans="2:34" ht="35.1" customHeight="1" thickTop="1" thickBot="1" x14ac:dyDescent="0.25">
      <c r="B324" s="142"/>
      <c r="C324" s="142"/>
      <c r="D324" s="142"/>
      <c r="E324" s="142"/>
      <c r="F324" s="142"/>
      <c r="G324" s="142"/>
      <c r="H324" s="142"/>
      <c r="I324" s="159"/>
      <c r="J324" s="18" t="s">
        <v>28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e">
        <f t="shared" ref="Z324:Z387" si="58">(L324)/K324</f>
        <v>#DIV/0!</v>
      </c>
      <c r="AA324" s="148"/>
      <c r="AB324" s="148"/>
      <c r="AC324" s="152"/>
      <c r="AD324" s="152"/>
      <c r="AE324" s="164"/>
      <c r="AF324" s="148"/>
      <c r="AG324" s="148"/>
      <c r="AH324" s="183"/>
    </row>
    <row r="325" spans="2:34" ht="35.1" customHeight="1" thickTop="1" thickBot="1" x14ac:dyDescent="0.25">
      <c r="B325" s="142"/>
      <c r="C325" s="142"/>
      <c r="D325" s="142"/>
      <c r="E325" s="142"/>
      <c r="F325" s="142"/>
      <c r="G325" s="142"/>
      <c r="H325" s="142"/>
      <c r="I325" s="159"/>
      <c r="J325" s="18" t="s">
        <v>27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e">
        <f t="shared" si="58"/>
        <v>#DIV/0!</v>
      </c>
      <c r="AA325" s="148"/>
      <c r="AB325" s="148"/>
      <c r="AC325" s="152"/>
      <c r="AD325" s="152"/>
      <c r="AE325" s="164"/>
      <c r="AF325" s="148"/>
      <c r="AG325" s="148"/>
      <c r="AH325" s="183"/>
    </row>
    <row r="326" spans="2:34" ht="35.1" customHeight="1" thickTop="1" thickBot="1" x14ac:dyDescent="0.25">
      <c r="B326" s="142"/>
      <c r="C326" s="142"/>
      <c r="D326" s="142"/>
      <c r="E326" s="142"/>
      <c r="F326" s="142"/>
      <c r="G326" s="142"/>
      <c r="H326" s="142"/>
      <c r="I326" s="159"/>
      <c r="J326" s="18" t="s">
        <v>26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e">
        <f t="shared" si="58"/>
        <v>#DIV/0!</v>
      </c>
      <c r="AA326" s="148"/>
      <c r="AB326" s="148"/>
      <c r="AC326" s="152"/>
      <c r="AD326" s="152"/>
      <c r="AE326" s="164"/>
      <c r="AF326" s="148"/>
      <c r="AG326" s="148"/>
      <c r="AH326" s="183"/>
    </row>
    <row r="327" spans="2:34" ht="35.1" customHeight="1" thickTop="1" thickBot="1" x14ac:dyDescent="0.25">
      <c r="B327" s="143"/>
      <c r="C327" s="143"/>
      <c r="D327" s="143"/>
      <c r="E327" s="143"/>
      <c r="F327" s="143"/>
      <c r="G327" s="143"/>
      <c r="H327" s="143"/>
      <c r="I327" s="160"/>
      <c r="J327" s="12" t="s">
        <v>25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e">
        <f t="shared" si="58"/>
        <v>#DIV/0!</v>
      </c>
      <c r="AA327" s="149"/>
      <c r="AB327" s="149"/>
      <c r="AC327" s="153"/>
      <c r="AD327" s="153"/>
      <c r="AE327" s="165"/>
      <c r="AF327" s="149"/>
      <c r="AG327" s="149"/>
      <c r="AH327" s="184"/>
    </row>
    <row r="328" spans="2:34" ht="35.1" customHeight="1" thickTop="1" thickBot="1" x14ac:dyDescent="0.25">
      <c r="B328" s="141"/>
      <c r="C328" s="141"/>
      <c r="D328" s="141"/>
      <c r="E328" s="141"/>
      <c r="F328" s="141"/>
      <c r="G328" s="141"/>
      <c r="H328" s="141"/>
      <c r="I328" s="158"/>
      <c r="J328" s="18" t="s">
        <v>30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e">
        <f t="shared" si="58"/>
        <v>#DIV/0!</v>
      </c>
      <c r="AA328" s="147" t="e">
        <f>AVERAGE(Z328,Z329,Z330,Z333)</f>
        <v>#DIV/0!</v>
      </c>
      <c r="AB328" s="150"/>
      <c r="AC328" s="151"/>
      <c r="AD328" s="151"/>
      <c r="AE328" s="163"/>
      <c r="AF328" s="150"/>
      <c r="AG328" s="150"/>
      <c r="AH328" s="182" t="e">
        <f t="shared" ref="AH328" si="59">(AC328)/AB328</f>
        <v>#DIV/0!</v>
      </c>
    </row>
    <row r="329" spans="2:34" ht="35.1" customHeight="1" thickTop="1" thickBot="1" x14ac:dyDescent="0.25">
      <c r="B329" s="142"/>
      <c r="C329" s="142"/>
      <c r="D329" s="142"/>
      <c r="E329" s="142"/>
      <c r="F329" s="142"/>
      <c r="G329" s="142"/>
      <c r="H329" s="142"/>
      <c r="I329" s="159"/>
      <c r="J329" s="18" t="s">
        <v>29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e">
        <f t="shared" si="58"/>
        <v>#DIV/0!</v>
      </c>
      <c r="AA329" s="148"/>
      <c r="AB329" s="148"/>
      <c r="AC329" s="152"/>
      <c r="AD329" s="152"/>
      <c r="AE329" s="164"/>
      <c r="AF329" s="148"/>
      <c r="AG329" s="148"/>
      <c r="AH329" s="183"/>
    </row>
    <row r="330" spans="2:34" ht="35.1" customHeight="1" thickTop="1" thickBot="1" x14ac:dyDescent="0.25">
      <c r="B330" s="142"/>
      <c r="C330" s="142"/>
      <c r="D330" s="142"/>
      <c r="E330" s="142"/>
      <c r="F330" s="142"/>
      <c r="G330" s="142"/>
      <c r="H330" s="142"/>
      <c r="I330" s="159"/>
      <c r="J330" s="18" t="s">
        <v>28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e">
        <f t="shared" si="58"/>
        <v>#DIV/0!</v>
      </c>
      <c r="AA330" s="148"/>
      <c r="AB330" s="148"/>
      <c r="AC330" s="152"/>
      <c r="AD330" s="152"/>
      <c r="AE330" s="164"/>
      <c r="AF330" s="148"/>
      <c r="AG330" s="148"/>
      <c r="AH330" s="183"/>
    </row>
    <row r="331" spans="2:34" ht="35.1" customHeight="1" thickTop="1" thickBot="1" x14ac:dyDescent="0.25">
      <c r="B331" s="142"/>
      <c r="C331" s="142"/>
      <c r="D331" s="142"/>
      <c r="E331" s="142"/>
      <c r="F331" s="142"/>
      <c r="G331" s="142"/>
      <c r="H331" s="142"/>
      <c r="I331" s="159"/>
      <c r="J331" s="18" t="s">
        <v>27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e">
        <f t="shared" si="58"/>
        <v>#DIV/0!</v>
      </c>
      <c r="AA331" s="148"/>
      <c r="AB331" s="148"/>
      <c r="AC331" s="152"/>
      <c r="AD331" s="152"/>
      <c r="AE331" s="164"/>
      <c r="AF331" s="148"/>
      <c r="AG331" s="148"/>
      <c r="AH331" s="183"/>
    </row>
    <row r="332" spans="2:34" ht="35.1" customHeight="1" thickTop="1" thickBot="1" x14ac:dyDescent="0.25">
      <c r="B332" s="142"/>
      <c r="C332" s="142"/>
      <c r="D332" s="142"/>
      <c r="E332" s="142"/>
      <c r="F332" s="142"/>
      <c r="G332" s="142"/>
      <c r="H332" s="142"/>
      <c r="I332" s="159"/>
      <c r="J332" s="18" t="s">
        <v>26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e">
        <f t="shared" si="58"/>
        <v>#DIV/0!</v>
      </c>
      <c r="AA332" s="148"/>
      <c r="AB332" s="148"/>
      <c r="AC332" s="152"/>
      <c r="AD332" s="152"/>
      <c r="AE332" s="164"/>
      <c r="AF332" s="148"/>
      <c r="AG332" s="148"/>
      <c r="AH332" s="183"/>
    </row>
    <row r="333" spans="2:34" ht="35.1" customHeight="1" thickTop="1" thickBot="1" x14ac:dyDescent="0.25">
      <c r="B333" s="143"/>
      <c r="C333" s="143"/>
      <c r="D333" s="143"/>
      <c r="E333" s="143"/>
      <c r="F333" s="143"/>
      <c r="G333" s="143"/>
      <c r="H333" s="143"/>
      <c r="I333" s="160"/>
      <c r="J333" s="12" t="s">
        <v>25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e">
        <f t="shared" si="58"/>
        <v>#DIV/0!</v>
      </c>
      <c r="AA333" s="149"/>
      <c r="AB333" s="149"/>
      <c r="AC333" s="153"/>
      <c r="AD333" s="153"/>
      <c r="AE333" s="165"/>
      <c r="AF333" s="149"/>
      <c r="AG333" s="149"/>
      <c r="AH333" s="184"/>
    </row>
    <row r="334" spans="2:34" ht="35.1" customHeight="1" thickTop="1" thickBot="1" x14ac:dyDescent="0.25">
      <c r="B334" s="141"/>
      <c r="C334" s="141"/>
      <c r="D334" s="141"/>
      <c r="E334" s="141"/>
      <c r="F334" s="141"/>
      <c r="G334" s="141"/>
      <c r="H334" s="141"/>
      <c r="I334" s="158"/>
      <c r="J334" s="18" t="s">
        <v>30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e">
        <f t="shared" si="58"/>
        <v>#DIV/0!</v>
      </c>
      <c r="AA334" s="147" t="e">
        <f>AVERAGE(Z334,Z335,Z336,Z339)</f>
        <v>#DIV/0!</v>
      </c>
      <c r="AB334" s="150"/>
      <c r="AC334" s="151"/>
      <c r="AD334" s="151"/>
      <c r="AE334" s="163"/>
      <c r="AF334" s="150"/>
      <c r="AG334" s="150"/>
      <c r="AH334" s="182" t="e">
        <f t="shared" ref="AH334" si="60">(AC334)/AB334</f>
        <v>#DIV/0!</v>
      </c>
    </row>
    <row r="335" spans="2:34" ht="35.1" customHeight="1" thickTop="1" thickBot="1" x14ac:dyDescent="0.25">
      <c r="B335" s="142"/>
      <c r="C335" s="142"/>
      <c r="D335" s="142"/>
      <c r="E335" s="142"/>
      <c r="F335" s="142"/>
      <c r="G335" s="142"/>
      <c r="H335" s="142"/>
      <c r="I335" s="159"/>
      <c r="J335" s="18" t="s">
        <v>29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e">
        <f t="shared" si="58"/>
        <v>#DIV/0!</v>
      </c>
      <c r="AA335" s="148"/>
      <c r="AB335" s="148"/>
      <c r="AC335" s="152"/>
      <c r="AD335" s="152"/>
      <c r="AE335" s="164"/>
      <c r="AF335" s="148"/>
      <c r="AG335" s="148"/>
      <c r="AH335" s="183"/>
    </row>
    <row r="336" spans="2:34" ht="35.1" customHeight="1" thickTop="1" thickBot="1" x14ac:dyDescent="0.25">
      <c r="B336" s="142"/>
      <c r="C336" s="142"/>
      <c r="D336" s="142"/>
      <c r="E336" s="142"/>
      <c r="F336" s="142"/>
      <c r="G336" s="142"/>
      <c r="H336" s="142"/>
      <c r="I336" s="159"/>
      <c r="J336" s="18" t="s">
        <v>28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e">
        <f t="shared" si="58"/>
        <v>#DIV/0!</v>
      </c>
      <c r="AA336" s="148"/>
      <c r="AB336" s="148"/>
      <c r="AC336" s="152"/>
      <c r="AD336" s="152"/>
      <c r="AE336" s="164"/>
      <c r="AF336" s="148"/>
      <c r="AG336" s="148"/>
      <c r="AH336" s="183"/>
    </row>
    <row r="337" spans="2:34" ht="35.1" customHeight="1" thickTop="1" thickBot="1" x14ac:dyDescent="0.25">
      <c r="B337" s="142"/>
      <c r="C337" s="142"/>
      <c r="D337" s="142"/>
      <c r="E337" s="142"/>
      <c r="F337" s="142"/>
      <c r="G337" s="142"/>
      <c r="H337" s="142"/>
      <c r="I337" s="159"/>
      <c r="J337" s="18" t="s">
        <v>27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e">
        <f t="shared" si="58"/>
        <v>#DIV/0!</v>
      </c>
      <c r="AA337" s="148"/>
      <c r="AB337" s="148"/>
      <c r="AC337" s="152"/>
      <c r="AD337" s="152"/>
      <c r="AE337" s="164"/>
      <c r="AF337" s="148"/>
      <c r="AG337" s="148"/>
      <c r="AH337" s="183"/>
    </row>
    <row r="338" spans="2:34" ht="35.1" customHeight="1" thickTop="1" thickBot="1" x14ac:dyDescent="0.25">
      <c r="B338" s="142"/>
      <c r="C338" s="142"/>
      <c r="D338" s="142"/>
      <c r="E338" s="142"/>
      <c r="F338" s="142"/>
      <c r="G338" s="142"/>
      <c r="H338" s="142"/>
      <c r="I338" s="159"/>
      <c r="J338" s="18" t="s">
        <v>26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e">
        <f t="shared" si="58"/>
        <v>#DIV/0!</v>
      </c>
      <c r="AA338" s="148"/>
      <c r="AB338" s="148"/>
      <c r="AC338" s="152"/>
      <c r="AD338" s="152"/>
      <c r="AE338" s="164"/>
      <c r="AF338" s="148"/>
      <c r="AG338" s="148"/>
      <c r="AH338" s="183"/>
    </row>
    <row r="339" spans="2:34" ht="35.1" customHeight="1" thickTop="1" thickBot="1" x14ac:dyDescent="0.25">
      <c r="B339" s="143"/>
      <c r="C339" s="143"/>
      <c r="D339" s="143"/>
      <c r="E339" s="143"/>
      <c r="F339" s="143"/>
      <c r="G339" s="143"/>
      <c r="H339" s="143"/>
      <c r="I339" s="160"/>
      <c r="J339" s="12" t="s">
        <v>25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e">
        <f t="shared" si="58"/>
        <v>#DIV/0!</v>
      </c>
      <c r="AA339" s="149"/>
      <c r="AB339" s="149"/>
      <c r="AC339" s="153"/>
      <c r="AD339" s="153"/>
      <c r="AE339" s="165"/>
      <c r="AF339" s="149"/>
      <c r="AG339" s="149"/>
      <c r="AH339" s="184"/>
    </row>
    <row r="340" spans="2:34" ht="35.1" customHeight="1" thickTop="1" thickBot="1" x14ac:dyDescent="0.25">
      <c r="B340" s="141"/>
      <c r="C340" s="141"/>
      <c r="D340" s="141"/>
      <c r="E340" s="141"/>
      <c r="F340" s="141"/>
      <c r="G340" s="141"/>
      <c r="H340" s="141"/>
      <c r="I340" s="158"/>
      <c r="J340" s="18" t="s">
        <v>30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e">
        <f t="shared" si="58"/>
        <v>#DIV/0!</v>
      </c>
      <c r="AA340" s="147" t="e">
        <f>AVERAGE(Z340,Z341,Z342,Z345)</f>
        <v>#DIV/0!</v>
      </c>
      <c r="AB340" s="150"/>
      <c r="AC340" s="151"/>
      <c r="AD340" s="151"/>
      <c r="AE340" s="163"/>
      <c r="AF340" s="150"/>
      <c r="AG340" s="150"/>
      <c r="AH340" s="182" t="e">
        <f t="shared" ref="AH340" si="61">(AC340)/AB340</f>
        <v>#DIV/0!</v>
      </c>
    </row>
    <row r="341" spans="2:34" ht="35.1" customHeight="1" thickTop="1" thickBot="1" x14ac:dyDescent="0.25">
      <c r="B341" s="142"/>
      <c r="C341" s="142"/>
      <c r="D341" s="142"/>
      <c r="E341" s="142"/>
      <c r="F341" s="142"/>
      <c r="G341" s="142"/>
      <c r="H341" s="142"/>
      <c r="I341" s="159"/>
      <c r="J341" s="18" t="s">
        <v>29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e">
        <f t="shared" si="58"/>
        <v>#DIV/0!</v>
      </c>
      <c r="AA341" s="148"/>
      <c r="AB341" s="148"/>
      <c r="AC341" s="152"/>
      <c r="AD341" s="152"/>
      <c r="AE341" s="164"/>
      <c r="AF341" s="148"/>
      <c r="AG341" s="148"/>
      <c r="AH341" s="183"/>
    </row>
    <row r="342" spans="2:34" ht="35.1" customHeight="1" thickTop="1" thickBot="1" x14ac:dyDescent="0.25">
      <c r="B342" s="142"/>
      <c r="C342" s="142"/>
      <c r="D342" s="142"/>
      <c r="E342" s="142"/>
      <c r="F342" s="142"/>
      <c r="G342" s="142"/>
      <c r="H342" s="142"/>
      <c r="I342" s="159"/>
      <c r="J342" s="18" t="s">
        <v>28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e">
        <f t="shared" si="58"/>
        <v>#DIV/0!</v>
      </c>
      <c r="AA342" s="148"/>
      <c r="AB342" s="148"/>
      <c r="AC342" s="152"/>
      <c r="AD342" s="152"/>
      <c r="AE342" s="164"/>
      <c r="AF342" s="148"/>
      <c r="AG342" s="148"/>
      <c r="AH342" s="183"/>
    </row>
    <row r="343" spans="2:34" ht="35.1" customHeight="1" thickTop="1" thickBot="1" x14ac:dyDescent="0.25">
      <c r="B343" s="142"/>
      <c r="C343" s="142"/>
      <c r="D343" s="142"/>
      <c r="E343" s="142"/>
      <c r="F343" s="142"/>
      <c r="G343" s="142"/>
      <c r="H343" s="142"/>
      <c r="I343" s="159"/>
      <c r="J343" s="18" t="s">
        <v>27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e">
        <f t="shared" si="58"/>
        <v>#DIV/0!</v>
      </c>
      <c r="AA343" s="148"/>
      <c r="AB343" s="148"/>
      <c r="AC343" s="152"/>
      <c r="AD343" s="152"/>
      <c r="AE343" s="164"/>
      <c r="AF343" s="148"/>
      <c r="AG343" s="148"/>
      <c r="AH343" s="183"/>
    </row>
    <row r="344" spans="2:34" ht="35.1" customHeight="1" thickTop="1" thickBot="1" x14ac:dyDescent="0.25">
      <c r="B344" s="142"/>
      <c r="C344" s="142"/>
      <c r="D344" s="142"/>
      <c r="E344" s="142"/>
      <c r="F344" s="142"/>
      <c r="G344" s="142"/>
      <c r="H344" s="142"/>
      <c r="I344" s="159"/>
      <c r="J344" s="18" t="s">
        <v>26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e">
        <f t="shared" si="58"/>
        <v>#DIV/0!</v>
      </c>
      <c r="AA344" s="148"/>
      <c r="AB344" s="148"/>
      <c r="AC344" s="152"/>
      <c r="AD344" s="152"/>
      <c r="AE344" s="164"/>
      <c r="AF344" s="148"/>
      <c r="AG344" s="148"/>
      <c r="AH344" s="183"/>
    </row>
    <row r="345" spans="2:34" ht="35.1" customHeight="1" thickTop="1" thickBot="1" x14ac:dyDescent="0.25">
      <c r="B345" s="143"/>
      <c r="C345" s="143"/>
      <c r="D345" s="143"/>
      <c r="E345" s="143"/>
      <c r="F345" s="143"/>
      <c r="G345" s="143"/>
      <c r="H345" s="143"/>
      <c r="I345" s="160"/>
      <c r="J345" s="12" t="s">
        <v>25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e">
        <f t="shared" si="58"/>
        <v>#DIV/0!</v>
      </c>
      <c r="AA345" s="149"/>
      <c r="AB345" s="149"/>
      <c r="AC345" s="153"/>
      <c r="AD345" s="153"/>
      <c r="AE345" s="165"/>
      <c r="AF345" s="149"/>
      <c r="AG345" s="149"/>
      <c r="AH345" s="184"/>
    </row>
    <row r="346" spans="2:34" ht="35.1" customHeight="1" thickTop="1" thickBot="1" x14ac:dyDescent="0.25">
      <c r="B346" s="141"/>
      <c r="C346" s="141"/>
      <c r="D346" s="141"/>
      <c r="E346" s="141"/>
      <c r="F346" s="141"/>
      <c r="G346" s="141"/>
      <c r="H346" s="141"/>
      <c r="I346" s="158"/>
      <c r="J346" s="18" t="s">
        <v>30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e">
        <f t="shared" si="58"/>
        <v>#DIV/0!</v>
      </c>
      <c r="AA346" s="147" t="e">
        <f>AVERAGE(Z346,Z347,Z348,Z351)</f>
        <v>#DIV/0!</v>
      </c>
      <c r="AB346" s="150"/>
      <c r="AC346" s="151"/>
      <c r="AD346" s="151"/>
      <c r="AE346" s="163"/>
      <c r="AF346" s="150"/>
      <c r="AG346" s="150"/>
      <c r="AH346" s="182" t="e">
        <f t="shared" ref="AH346" si="62">(AC346)/AB346</f>
        <v>#DIV/0!</v>
      </c>
    </row>
    <row r="347" spans="2:34" ht="35.1" customHeight="1" thickTop="1" thickBot="1" x14ac:dyDescent="0.25">
      <c r="B347" s="142"/>
      <c r="C347" s="142"/>
      <c r="D347" s="142"/>
      <c r="E347" s="142"/>
      <c r="F347" s="142"/>
      <c r="G347" s="142"/>
      <c r="H347" s="142"/>
      <c r="I347" s="159"/>
      <c r="J347" s="18" t="s">
        <v>29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e">
        <f t="shared" si="58"/>
        <v>#DIV/0!</v>
      </c>
      <c r="AA347" s="148"/>
      <c r="AB347" s="148"/>
      <c r="AC347" s="152"/>
      <c r="AD347" s="152"/>
      <c r="AE347" s="164"/>
      <c r="AF347" s="148"/>
      <c r="AG347" s="148"/>
      <c r="AH347" s="183"/>
    </row>
    <row r="348" spans="2:34" ht="35.1" customHeight="1" thickTop="1" thickBot="1" x14ac:dyDescent="0.25">
      <c r="B348" s="142"/>
      <c r="C348" s="142"/>
      <c r="D348" s="142"/>
      <c r="E348" s="142"/>
      <c r="F348" s="142"/>
      <c r="G348" s="142"/>
      <c r="H348" s="142"/>
      <c r="I348" s="159"/>
      <c r="J348" s="18" t="s">
        <v>28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e">
        <f t="shared" si="58"/>
        <v>#DIV/0!</v>
      </c>
      <c r="AA348" s="148"/>
      <c r="AB348" s="148"/>
      <c r="AC348" s="152"/>
      <c r="AD348" s="152"/>
      <c r="AE348" s="164"/>
      <c r="AF348" s="148"/>
      <c r="AG348" s="148"/>
      <c r="AH348" s="183"/>
    </row>
    <row r="349" spans="2:34" ht="35.1" customHeight="1" thickTop="1" thickBot="1" x14ac:dyDescent="0.25">
      <c r="B349" s="142"/>
      <c r="C349" s="142"/>
      <c r="D349" s="142"/>
      <c r="E349" s="142"/>
      <c r="F349" s="142"/>
      <c r="G349" s="142"/>
      <c r="H349" s="142"/>
      <c r="I349" s="159"/>
      <c r="J349" s="18" t="s">
        <v>27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e">
        <f t="shared" si="58"/>
        <v>#DIV/0!</v>
      </c>
      <c r="AA349" s="148"/>
      <c r="AB349" s="148"/>
      <c r="AC349" s="152"/>
      <c r="AD349" s="152"/>
      <c r="AE349" s="164"/>
      <c r="AF349" s="148"/>
      <c r="AG349" s="148"/>
      <c r="AH349" s="183"/>
    </row>
    <row r="350" spans="2:34" ht="35.1" customHeight="1" thickTop="1" thickBot="1" x14ac:dyDescent="0.25">
      <c r="B350" s="142"/>
      <c r="C350" s="142"/>
      <c r="D350" s="142"/>
      <c r="E350" s="142"/>
      <c r="F350" s="142"/>
      <c r="G350" s="142"/>
      <c r="H350" s="142"/>
      <c r="I350" s="159"/>
      <c r="J350" s="18" t="s">
        <v>26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e">
        <f t="shared" si="58"/>
        <v>#DIV/0!</v>
      </c>
      <c r="AA350" s="148"/>
      <c r="AB350" s="148"/>
      <c r="AC350" s="152"/>
      <c r="AD350" s="152"/>
      <c r="AE350" s="164"/>
      <c r="AF350" s="148"/>
      <c r="AG350" s="148"/>
      <c r="AH350" s="183"/>
    </row>
    <row r="351" spans="2:34" ht="35.1" customHeight="1" thickTop="1" thickBot="1" x14ac:dyDescent="0.25">
      <c r="B351" s="143"/>
      <c r="C351" s="143"/>
      <c r="D351" s="143"/>
      <c r="E351" s="143"/>
      <c r="F351" s="143"/>
      <c r="G351" s="143"/>
      <c r="H351" s="143"/>
      <c r="I351" s="160"/>
      <c r="J351" s="12" t="s">
        <v>25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e">
        <f t="shared" si="58"/>
        <v>#DIV/0!</v>
      </c>
      <c r="AA351" s="149"/>
      <c r="AB351" s="149"/>
      <c r="AC351" s="153"/>
      <c r="AD351" s="153"/>
      <c r="AE351" s="165"/>
      <c r="AF351" s="149"/>
      <c r="AG351" s="149"/>
      <c r="AH351" s="184"/>
    </row>
    <row r="352" spans="2:34" ht="35.1" customHeight="1" thickTop="1" thickBot="1" x14ac:dyDescent="0.25">
      <c r="B352" s="141"/>
      <c r="C352" s="141"/>
      <c r="D352" s="141"/>
      <c r="E352" s="141"/>
      <c r="F352" s="141"/>
      <c r="G352" s="141"/>
      <c r="H352" s="141"/>
      <c r="I352" s="158"/>
      <c r="J352" s="18" t="s">
        <v>30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e">
        <f t="shared" si="58"/>
        <v>#DIV/0!</v>
      </c>
      <c r="AA352" s="147" t="e">
        <f>AVERAGE(Z352,Z353,Z354,Z357)</f>
        <v>#DIV/0!</v>
      </c>
      <c r="AB352" s="150"/>
      <c r="AC352" s="151"/>
      <c r="AD352" s="151"/>
      <c r="AE352" s="163"/>
      <c r="AF352" s="150"/>
      <c r="AG352" s="150"/>
      <c r="AH352" s="182" t="e">
        <f t="shared" ref="AH352" si="63">(AC352)/AB352</f>
        <v>#DIV/0!</v>
      </c>
    </row>
    <row r="353" spans="2:34" ht="35.1" customHeight="1" thickTop="1" thickBot="1" x14ac:dyDescent="0.25">
      <c r="B353" s="142"/>
      <c r="C353" s="142"/>
      <c r="D353" s="142"/>
      <c r="E353" s="142"/>
      <c r="F353" s="142"/>
      <c r="G353" s="142"/>
      <c r="H353" s="142"/>
      <c r="I353" s="159"/>
      <c r="J353" s="18" t="s">
        <v>29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e">
        <f t="shared" si="58"/>
        <v>#DIV/0!</v>
      </c>
      <c r="AA353" s="148"/>
      <c r="AB353" s="148"/>
      <c r="AC353" s="152"/>
      <c r="AD353" s="152"/>
      <c r="AE353" s="164"/>
      <c r="AF353" s="148"/>
      <c r="AG353" s="148"/>
      <c r="AH353" s="183"/>
    </row>
    <row r="354" spans="2:34" ht="35.1" customHeight="1" thickTop="1" thickBot="1" x14ac:dyDescent="0.25">
      <c r="B354" s="142"/>
      <c r="C354" s="142"/>
      <c r="D354" s="142"/>
      <c r="E354" s="142"/>
      <c r="F354" s="142"/>
      <c r="G354" s="142"/>
      <c r="H354" s="142"/>
      <c r="I354" s="159"/>
      <c r="J354" s="18" t="s">
        <v>28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e">
        <f t="shared" si="58"/>
        <v>#DIV/0!</v>
      </c>
      <c r="AA354" s="148"/>
      <c r="AB354" s="148"/>
      <c r="AC354" s="152"/>
      <c r="AD354" s="152"/>
      <c r="AE354" s="164"/>
      <c r="AF354" s="148"/>
      <c r="AG354" s="148"/>
      <c r="AH354" s="183"/>
    </row>
    <row r="355" spans="2:34" ht="35.1" customHeight="1" thickTop="1" thickBot="1" x14ac:dyDescent="0.25">
      <c r="B355" s="142"/>
      <c r="C355" s="142"/>
      <c r="D355" s="142"/>
      <c r="E355" s="142"/>
      <c r="F355" s="142"/>
      <c r="G355" s="142"/>
      <c r="H355" s="142"/>
      <c r="I355" s="159"/>
      <c r="J355" s="18" t="s">
        <v>27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e">
        <f t="shared" si="58"/>
        <v>#DIV/0!</v>
      </c>
      <c r="AA355" s="148"/>
      <c r="AB355" s="148"/>
      <c r="AC355" s="152"/>
      <c r="AD355" s="152"/>
      <c r="AE355" s="164"/>
      <c r="AF355" s="148"/>
      <c r="AG355" s="148"/>
      <c r="AH355" s="183"/>
    </row>
    <row r="356" spans="2:34" ht="35.1" customHeight="1" thickTop="1" thickBot="1" x14ac:dyDescent="0.25">
      <c r="B356" s="142"/>
      <c r="C356" s="142"/>
      <c r="D356" s="142"/>
      <c r="E356" s="142"/>
      <c r="F356" s="142"/>
      <c r="G356" s="142"/>
      <c r="H356" s="142"/>
      <c r="I356" s="159"/>
      <c r="J356" s="18" t="s">
        <v>26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e">
        <f t="shared" si="58"/>
        <v>#DIV/0!</v>
      </c>
      <c r="AA356" s="148"/>
      <c r="AB356" s="148"/>
      <c r="AC356" s="152"/>
      <c r="AD356" s="152"/>
      <c r="AE356" s="164"/>
      <c r="AF356" s="148"/>
      <c r="AG356" s="148"/>
      <c r="AH356" s="183"/>
    </row>
    <row r="357" spans="2:34" ht="35.1" customHeight="1" thickTop="1" thickBot="1" x14ac:dyDescent="0.25">
      <c r="B357" s="143"/>
      <c r="C357" s="143"/>
      <c r="D357" s="143"/>
      <c r="E357" s="143"/>
      <c r="F357" s="143"/>
      <c r="G357" s="143"/>
      <c r="H357" s="143"/>
      <c r="I357" s="160"/>
      <c r="J357" s="12" t="s">
        <v>25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e">
        <f t="shared" si="58"/>
        <v>#DIV/0!</v>
      </c>
      <c r="AA357" s="149"/>
      <c r="AB357" s="149"/>
      <c r="AC357" s="153"/>
      <c r="AD357" s="153"/>
      <c r="AE357" s="165"/>
      <c r="AF357" s="149"/>
      <c r="AG357" s="149"/>
      <c r="AH357" s="184"/>
    </row>
    <row r="358" spans="2:34" ht="35.1" customHeight="1" thickTop="1" thickBot="1" x14ac:dyDescent="0.25">
      <c r="B358" s="141"/>
      <c r="C358" s="141"/>
      <c r="D358" s="141"/>
      <c r="E358" s="141"/>
      <c r="F358" s="141"/>
      <c r="G358" s="141"/>
      <c r="H358" s="141"/>
      <c r="I358" s="158"/>
      <c r="J358" s="18" t="s">
        <v>30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e">
        <f t="shared" si="58"/>
        <v>#DIV/0!</v>
      </c>
      <c r="AA358" s="147" t="e">
        <f>AVERAGE(Z358,Z359,Z360,Z363)</f>
        <v>#DIV/0!</v>
      </c>
      <c r="AB358" s="150"/>
      <c r="AC358" s="151"/>
      <c r="AD358" s="151"/>
      <c r="AE358" s="163"/>
      <c r="AF358" s="150"/>
      <c r="AG358" s="150"/>
      <c r="AH358" s="182" t="e">
        <f t="shared" ref="AH358" si="64">(AC358)/AB358</f>
        <v>#DIV/0!</v>
      </c>
    </row>
    <row r="359" spans="2:34" ht="35.1" customHeight="1" thickTop="1" thickBot="1" x14ac:dyDescent="0.25">
      <c r="B359" s="142"/>
      <c r="C359" s="142"/>
      <c r="D359" s="142"/>
      <c r="E359" s="142"/>
      <c r="F359" s="142"/>
      <c r="G359" s="142"/>
      <c r="H359" s="142"/>
      <c r="I359" s="159"/>
      <c r="J359" s="18" t="s">
        <v>29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e">
        <f t="shared" si="58"/>
        <v>#DIV/0!</v>
      </c>
      <c r="AA359" s="148"/>
      <c r="AB359" s="148"/>
      <c r="AC359" s="152"/>
      <c r="AD359" s="152"/>
      <c r="AE359" s="164"/>
      <c r="AF359" s="148"/>
      <c r="AG359" s="148"/>
      <c r="AH359" s="183"/>
    </row>
    <row r="360" spans="2:34" ht="35.1" customHeight="1" thickTop="1" thickBot="1" x14ac:dyDescent="0.25">
      <c r="B360" s="142"/>
      <c r="C360" s="142"/>
      <c r="D360" s="142"/>
      <c r="E360" s="142"/>
      <c r="F360" s="142"/>
      <c r="G360" s="142"/>
      <c r="H360" s="142"/>
      <c r="I360" s="159"/>
      <c r="J360" s="18" t="s">
        <v>28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e">
        <f t="shared" si="58"/>
        <v>#DIV/0!</v>
      </c>
      <c r="AA360" s="148"/>
      <c r="AB360" s="148"/>
      <c r="AC360" s="152"/>
      <c r="AD360" s="152"/>
      <c r="AE360" s="164"/>
      <c r="AF360" s="148"/>
      <c r="AG360" s="148"/>
      <c r="AH360" s="183"/>
    </row>
    <row r="361" spans="2:34" ht="35.1" customHeight="1" thickTop="1" thickBot="1" x14ac:dyDescent="0.25">
      <c r="B361" s="142"/>
      <c r="C361" s="142"/>
      <c r="D361" s="142"/>
      <c r="E361" s="142"/>
      <c r="F361" s="142"/>
      <c r="G361" s="142"/>
      <c r="H361" s="142"/>
      <c r="I361" s="159"/>
      <c r="J361" s="18" t="s">
        <v>27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e">
        <f t="shared" si="58"/>
        <v>#DIV/0!</v>
      </c>
      <c r="AA361" s="148"/>
      <c r="AB361" s="148"/>
      <c r="AC361" s="152"/>
      <c r="AD361" s="152"/>
      <c r="AE361" s="164"/>
      <c r="AF361" s="148"/>
      <c r="AG361" s="148"/>
      <c r="AH361" s="183"/>
    </row>
    <row r="362" spans="2:34" ht="35.1" customHeight="1" thickTop="1" thickBot="1" x14ac:dyDescent="0.25">
      <c r="B362" s="142"/>
      <c r="C362" s="142"/>
      <c r="D362" s="142"/>
      <c r="E362" s="142"/>
      <c r="F362" s="142"/>
      <c r="G362" s="142"/>
      <c r="H362" s="142"/>
      <c r="I362" s="159"/>
      <c r="J362" s="18" t="s">
        <v>26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e">
        <f t="shared" si="58"/>
        <v>#DIV/0!</v>
      </c>
      <c r="AA362" s="148"/>
      <c r="AB362" s="148"/>
      <c r="AC362" s="152"/>
      <c r="AD362" s="152"/>
      <c r="AE362" s="164"/>
      <c r="AF362" s="148"/>
      <c r="AG362" s="148"/>
      <c r="AH362" s="183"/>
    </row>
    <row r="363" spans="2:34" ht="35.1" customHeight="1" thickTop="1" thickBot="1" x14ac:dyDescent="0.25">
      <c r="B363" s="143"/>
      <c r="C363" s="143"/>
      <c r="D363" s="143"/>
      <c r="E363" s="143"/>
      <c r="F363" s="143"/>
      <c r="G363" s="143"/>
      <c r="H363" s="143"/>
      <c r="I363" s="160"/>
      <c r="J363" s="12" t="s">
        <v>25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e">
        <f t="shared" si="58"/>
        <v>#DIV/0!</v>
      </c>
      <c r="AA363" s="149"/>
      <c r="AB363" s="149"/>
      <c r="AC363" s="153"/>
      <c r="AD363" s="153"/>
      <c r="AE363" s="165"/>
      <c r="AF363" s="149"/>
      <c r="AG363" s="149"/>
      <c r="AH363" s="184"/>
    </row>
    <row r="364" spans="2:34" ht="35.1" customHeight="1" thickTop="1" thickBot="1" x14ac:dyDescent="0.25">
      <c r="B364" s="141"/>
      <c r="C364" s="141"/>
      <c r="D364" s="141"/>
      <c r="E364" s="141"/>
      <c r="F364" s="141"/>
      <c r="G364" s="141"/>
      <c r="H364" s="141"/>
      <c r="I364" s="158"/>
      <c r="J364" s="18" t="s">
        <v>30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e">
        <f t="shared" si="58"/>
        <v>#DIV/0!</v>
      </c>
      <c r="AA364" s="147" t="e">
        <f>AVERAGE(Z364,Z365,Z366,Z369)</f>
        <v>#DIV/0!</v>
      </c>
      <c r="AB364" s="150"/>
      <c r="AC364" s="151"/>
      <c r="AD364" s="151"/>
      <c r="AE364" s="163"/>
      <c r="AF364" s="150"/>
      <c r="AG364" s="150"/>
      <c r="AH364" s="182" t="e">
        <f t="shared" ref="AH364" si="65">(AC364)/AB364</f>
        <v>#DIV/0!</v>
      </c>
    </row>
    <row r="365" spans="2:34" ht="35.1" customHeight="1" thickTop="1" thickBot="1" x14ac:dyDescent="0.25">
      <c r="B365" s="142"/>
      <c r="C365" s="142"/>
      <c r="D365" s="142"/>
      <c r="E365" s="142"/>
      <c r="F365" s="142"/>
      <c r="G365" s="142"/>
      <c r="H365" s="142"/>
      <c r="I365" s="159"/>
      <c r="J365" s="18" t="s">
        <v>29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e">
        <f t="shared" si="58"/>
        <v>#DIV/0!</v>
      </c>
      <c r="AA365" s="148"/>
      <c r="AB365" s="148"/>
      <c r="AC365" s="152"/>
      <c r="AD365" s="152"/>
      <c r="AE365" s="164"/>
      <c r="AF365" s="148"/>
      <c r="AG365" s="148"/>
      <c r="AH365" s="183"/>
    </row>
    <row r="366" spans="2:34" ht="35.1" customHeight="1" thickTop="1" thickBot="1" x14ac:dyDescent="0.25">
      <c r="B366" s="142"/>
      <c r="C366" s="142"/>
      <c r="D366" s="142"/>
      <c r="E366" s="142"/>
      <c r="F366" s="142"/>
      <c r="G366" s="142"/>
      <c r="H366" s="142"/>
      <c r="I366" s="159"/>
      <c r="J366" s="18" t="s">
        <v>28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e">
        <f t="shared" si="58"/>
        <v>#DIV/0!</v>
      </c>
      <c r="AA366" s="148"/>
      <c r="AB366" s="148"/>
      <c r="AC366" s="152"/>
      <c r="AD366" s="152"/>
      <c r="AE366" s="164"/>
      <c r="AF366" s="148"/>
      <c r="AG366" s="148"/>
      <c r="AH366" s="183"/>
    </row>
    <row r="367" spans="2:34" ht="35.1" customHeight="1" thickTop="1" thickBot="1" x14ac:dyDescent="0.25">
      <c r="B367" s="142"/>
      <c r="C367" s="142"/>
      <c r="D367" s="142"/>
      <c r="E367" s="142"/>
      <c r="F367" s="142"/>
      <c r="G367" s="142"/>
      <c r="H367" s="142"/>
      <c r="I367" s="159"/>
      <c r="J367" s="18" t="s">
        <v>27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e">
        <f t="shared" si="58"/>
        <v>#DIV/0!</v>
      </c>
      <c r="AA367" s="148"/>
      <c r="AB367" s="148"/>
      <c r="AC367" s="152"/>
      <c r="AD367" s="152"/>
      <c r="AE367" s="164"/>
      <c r="AF367" s="148"/>
      <c r="AG367" s="148"/>
      <c r="AH367" s="183"/>
    </row>
    <row r="368" spans="2:34" ht="35.1" customHeight="1" thickTop="1" thickBot="1" x14ac:dyDescent="0.25">
      <c r="B368" s="142"/>
      <c r="C368" s="142"/>
      <c r="D368" s="142"/>
      <c r="E368" s="142"/>
      <c r="F368" s="142"/>
      <c r="G368" s="142"/>
      <c r="H368" s="142"/>
      <c r="I368" s="159"/>
      <c r="J368" s="18" t="s">
        <v>26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e">
        <f t="shared" si="58"/>
        <v>#DIV/0!</v>
      </c>
      <c r="AA368" s="148"/>
      <c r="AB368" s="148"/>
      <c r="AC368" s="152"/>
      <c r="AD368" s="152"/>
      <c r="AE368" s="164"/>
      <c r="AF368" s="148"/>
      <c r="AG368" s="148"/>
      <c r="AH368" s="183"/>
    </row>
    <row r="369" spans="2:34" ht="35.1" customHeight="1" thickTop="1" thickBot="1" x14ac:dyDescent="0.25">
      <c r="B369" s="143"/>
      <c r="C369" s="143"/>
      <c r="D369" s="143"/>
      <c r="E369" s="143"/>
      <c r="F369" s="143"/>
      <c r="G369" s="143"/>
      <c r="H369" s="143"/>
      <c r="I369" s="160"/>
      <c r="J369" s="12" t="s">
        <v>25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e">
        <f t="shared" si="58"/>
        <v>#DIV/0!</v>
      </c>
      <c r="AA369" s="149"/>
      <c r="AB369" s="149"/>
      <c r="AC369" s="153"/>
      <c r="AD369" s="153"/>
      <c r="AE369" s="165"/>
      <c r="AF369" s="149"/>
      <c r="AG369" s="149"/>
      <c r="AH369" s="184"/>
    </row>
    <row r="370" spans="2:34" ht="35.1" customHeight="1" thickTop="1" thickBot="1" x14ac:dyDescent="0.25">
      <c r="B370" s="141"/>
      <c r="C370" s="141"/>
      <c r="D370" s="141"/>
      <c r="E370" s="141"/>
      <c r="F370" s="141"/>
      <c r="G370" s="141"/>
      <c r="H370" s="141"/>
      <c r="I370" s="158"/>
      <c r="J370" s="18" t="s">
        <v>30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e">
        <f t="shared" si="58"/>
        <v>#DIV/0!</v>
      </c>
      <c r="AA370" s="147" t="e">
        <f>AVERAGE(Z370,Z371,Z372,Z375)</f>
        <v>#DIV/0!</v>
      </c>
      <c r="AB370" s="150"/>
      <c r="AC370" s="151"/>
      <c r="AD370" s="151"/>
      <c r="AE370" s="163"/>
      <c r="AF370" s="150"/>
      <c r="AG370" s="150"/>
      <c r="AH370" s="182" t="e">
        <f t="shared" ref="AH370" si="66">(AC370)/AB370</f>
        <v>#DIV/0!</v>
      </c>
    </row>
    <row r="371" spans="2:34" ht="35.1" customHeight="1" thickTop="1" thickBot="1" x14ac:dyDescent="0.25">
      <c r="B371" s="142"/>
      <c r="C371" s="142"/>
      <c r="D371" s="142"/>
      <c r="E371" s="142"/>
      <c r="F371" s="142"/>
      <c r="G371" s="142"/>
      <c r="H371" s="142"/>
      <c r="I371" s="159"/>
      <c r="J371" s="18" t="s">
        <v>29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e">
        <f t="shared" si="58"/>
        <v>#DIV/0!</v>
      </c>
      <c r="AA371" s="148"/>
      <c r="AB371" s="148"/>
      <c r="AC371" s="152"/>
      <c r="AD371" s="152"/>
      <c r="AE371" s="164"/>
      <c r="AF371" s="148"/>
      <c r="AG371" s="148"/>
      <c r="AH371" s="183"/>
    </row>
    <row r="372" spans="2:34" ht="35.1" customHeight="1" thickTop="1" thickBot="1" x14ac:dyDescent="0.25">
      <c r="B372" s="142"/>
      <c r="C372" s="142"/>
      <c r="D372" s="142"/>
      <c r="E372" s="142"/>
      <c r="F372" s="142"/>
      <c r="G372" s="142"/>
      <c r="H372" s="142"/>
      <c r="I372" s="159"/>
      <c r="J372" s="18" t="s">
        <v>28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e">
        <f t="shared" si="58"/>
        <v>#DIV/0!</v>
      </c>
      <c r="AA372" s="148"/>
      <c r="AB372" s="148"/>
      <c r="AC372" s="152"/>
      <c r="AD372" s="152"/>
      <c r="AE372" s="164"/>
      <c r="AF372" s="148"/>
      <c r="AG372" s="148"/>
      <c r="AH372" s="183"/>
    </row>
    <row r="373" spans="2:34" ht="35.1" customHeight="1" thickTop="1" thickBot="1" x14ac:dyDescent="0.25">
      <c r="B373" s="142"/>
      <c r="C373" s="142"/>
      <c r="D373" s="142"/>
      <c r="E373" s="142"/>
      <c r="F373" s="142"/>
      <c r="G373" s="142"/>
      <c r="H373" s="142"/>
      <c r="I373" s="159"/>
      <c r="J373" s="18" t="s">
        <v>27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e">
        <f t="shared" si="58"/>
        <v>#DIV/0!</v>
      </c>
      <c r="AA373" s="148"/>
      <c r="AB373" s="148"/>
      <c r="AC373" s="152"/>
      <c r="AD373" s="152"/>
      <c r="AE373" s="164"/>
      <c r="AF373" s="148"/>
      <c r="AG373" s="148"/>
      <c r="AH373" s="183"/>
    </row>
    <row r="374" spans="2:34" ht="35.1" customHeight="1" thickTop="1" thickBot="1" x14ac:dyDescent="0.25">
      <c r="B374" s="142"/>
      <c r="C374" s="142"/>
      <c r="D374" s="142"/>
      <c r="E374" s="142"/>
      <c r="F374" s="142"/>
      <c r="G374" s="142"/>
      <c r="H374" s="142"/>
      <c r="I374" s="159"/>
      <c r="J374" s="18" t="s">
        <v>26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e">
        <f t="shared" si="58"/>
        <v>#DIV/0!</v>
      </c>
      <c r="AA374" s="148"/>
      <c r="AB374" s="148"/>
      <c r="AC374" s="152"/>
      <c r="AD374" s="152"/>
      <c r="AE374" s="164"/>
      <c r="AF374" s="148"/>
      <c r="AG374" s="148"/>
      <c r="AH374" s="183"/>
    </row>
    <row r="375" spans="2:34" ht="35.1" customHeight="1" thickTop="1" thickBot="1" x14ac:dyDescent="0.25">
      <c r="B375" s="143"/>
      <c r="C375" s="143"/>
      <c r="D375" s="143"/>
      <c r="E375" s="143"/>
      <c r="F375" s="143"/>
      <c r="G375" s="143"/>
      <c r="H375" s="143"/>
      <c r="I375" s="160"/>
      <c r="J375" s="12" t="s">
        <v>25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e">
        <f t="shared" si="58"/>
        <v>#DIV/0!</v>
      </c>
      <c r="AA375" s="149"/>
      <c r="AB375" s="149"/>
      <c r="AC375" s="153"/>
      <c r="AD375" s="153"/>
      <c r="AE375" s="165"/>
      <c r="AF375" s="149"/>
      <c r="AG375" s="149"/>
      <c r="AH375" s="184"/>
    </row>
    <row r="376" spans="2:34" ht="35.1" customHeight="1" thickTop="1" thickBot="1" x14ac:dyDescent="0.25">
      <c r="B376" s="141"/>
      <c r="C376" s="141"/>
      <c r="D376" s="141"/>
      <c r="E376" s="141"/>
      <c r="F376" s="141"/>
      <c r="G376" s="141"/>
      <c r="H376" s="141"/>
      <c r="I376" s="158"/>
      <c r="J376" s="18" t="s">
        <v>30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e">
        <f t="shared" si="58"/>
        <v>#DIV/0!</v>
      </c>
      <c r="AA376" s="147" t="e">
        <f>AVERAGE(Z376,Z377,Z378,Z381)</f>
        <v>#DIV/0!</v>
      </c>
      <c r="AB376" s="150"/>
      <c r="AC376" s="151"/>
      <c r="AD376" s="151"/>
      <c r="AE376" s="163"/>
      <c r="AF376" s="150"/>
      <c r="AG376" s="150"/>
      <c r="AH376" s="182" t="e">
        <f t="shared" ref="AH376" si="67">(AC376)/AB376</f>
        <v>#DIV/0!</v>
      </c>
    </row>
    <row r="377" spans="2:34" ht="35.1" customHeight="1" thickTop="1" thickBot="1" x14ac:dyDescent="0.25">
      <c r="B377" s="142"/>
      <c r="C377" s="142"/>
      <c r="D377" s="142"/>
      <c r="E377" s="142"/>
      <c r="F377" s="142"/>
      <c r="G377" s="142"/>
      <c r="H377" s="142"/>
      <c r="I377" s="159"/>
      <c r="J377" s="18" t="s">
        <v>29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e">
        <f t="shared" si="58"/>
        <v>#DIV/0!</v>
      </c>
      <c r="AA377" s="148"/>
      <c r="AB377" s="148"/>
      <c r="AC377" s="152"/>
      <c r="AD377" s="152"/>
      <c r="AE377" s="164"/>
      <c r="AF377" s="148"/>
      <c r="AG377" s="148"/>
      <c r="AH377" s="183"/>
    </row>
    <row r="378" spans="2:34" ht="35.1" customHeight="1" thickTop="1" thickBot="1" x14ac:dyDescent="0.25">
      <c r="B378" s="142"/>
      <c r="C378" s="142"/>
      <c r="D378" s="142"/>
      <c r="E378" s="142"/>
      <c r="F378" s="142"/>
      <c r="G378" s="142"/>
      <c r="H378" s="142"/>
      <c r="I378" s="159"/>
      <c r="J378" s="18" t="s">
        <v>28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e">
        <f t="shared" si="58"/>
        <v>#DIV/0!</v>
      </c>
      <c r="AA378" s="148"/>
      <c r="AB378" s="148"/>
      <c r="AC378" s="152"/>
      <c r="AD378" s="152"/>
      <c r="AE378" s="164"/>
      <c r="AF378" s="148"/>
      <c r="AG378" s="148"/>
      <c r="AH378" s="183"/>
    </row>
    <row r="379" spans="2:34" ht="35.1" customHeight="1" thickTop="1" thickBot="1" x14ac:dyDescent="0.25">
      <c r="B379" s="142"/>
      <c r="C379" s="142"/>
      <c r="D379" s="142"/>
      <c r="E379" s="142"/>
      <c r="F379" s="142"/>
      <c r="G379" s="142"/>
      <c r="H379" s="142"/>
      <c r="I379" s="159"/>
      <c r="J379" s="18" t="s">
        <v>27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e">
        <f t="shared" si="58"/>
        <v>#DIV/0!</v>
      </c>
      <c r="AA379" s="148"/>
      <c r="AB379" s="148"/>
      <c r="AC379" s="152"/>
      <c r="AD379" s="152"/>
      <c r="AE379" s="164"/>
      <c r="AF379" s="148"/>
      <c r="AG379" s="148"/>
      <c r="AH379" s="183"/>
    </row>
    <row r="380" spans="2:34" ht="35.1" customHeight="1" thickTop="1" thickBot="1" x14ac:dyDescent="0.25">
      <c r="B380" s="142"/>
      <c r="C380" s="142"/>
      <c r="D380" s="142"/>
      <c r="E380" s="142"/>
      <c r="F380" s="142"/>
      <c r="G380" s="142"/>
      <c r="H380" s="142"/>
      <c r="I380" s="159"/>
      <c r="J380" s="18" t="s">
        <v>26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e">
        <f t="shared" si="58"/>
        <v>#DIV/0!</v>
      </c>
      <c r="AA380" s="148"/>
      <c r="AB380" s="148"/>
      <c r="AC380" s="152"/>
      <c r="AD380" s="152"/>
      <c r="AE380" s="164"/>
      <c r="AF380" s="148"/>
      <c r="AG380" s="148"/>
      <c r="AH380" s="183"/>
    </row>
    <row r="381" spans="2:34" ht="35.1" customHeight="1" thickTop="1" thickBot="1" x14ac:dyDescent="0.25">
      <c r="B381" s="143"/>
      <c r="C381" s="143"/>
      <c r="D381" s="143"/>
      <c r="E381" s="143"/>
      <c r="F381" s="143"/>
      <c r="G381" s="143"/>
      <c r="H381" s="143"/>
      <c r="I381" s="160"/>
      <c r="J381" s="12" t="s">
        <v>25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e">
        <f t="shared" si="58"/>
        <v>#DIV/0!</v>
      </c>
      <c r="AA381" s="149"/>
      <c r="AB381" s="149"/>
      <c r="AC381" s="153"/>
      <c r="AD381" s="153"/>
      <c r="AE381" s="165"/>
      <c r="AF381" s="149"/>
      <c r="AG381" s="149"/>
      <c r="AH381" s="184"/>
    </row>
    <row r="382" spans="2:34" ht="35.1" customHeight="1" thickTop="1" thickBot="1" x14ac:dyDescent="0.25">
      <c r="B382" s="141"/>
      <c r="C382" s="141"/>
      <c r="D382" s="141"/>
      <c r="E382" s="141"/>
      <c r="F382" s="141"/>
      <c r="G382" s="141"/>
      <c r="H382" s="141"/>
      <c r="I382" s="158"/>
      <c r="J382" s="18" t="s">
        <v>30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e">
        <f t="shared" si="58"/>
        <v>#DIV/0!</v>
      </c>
      <c r="AA382" s="147" t="e">
        <f>AVERAGE(Z382,Z383,Z384,Z387)</f>
        <v>#DIV/0!</v>
      </c>
      <c r="AB382" s="150"/>
      <c r="AC382" s="151"/>
      <c r="AD382" s="151"/>
      <c r="AE382" s="163"/>
      <c r="AF382" s="150"/>
      <c r="AG382" s="150"/>
      <c r="AH382" s="182" t="e">
        <f t="shared" ref="AH382" si="68">(AC382)/AB382</f>
        <v>#DIV/0!</v>
      </c>
    </row>
    <row r="383" spans="2:34" ht="35.1" customHeight="1" thickTop="1" thickBot="1" x14ac:dyDescent="0.25">
      <c r="B383" s="142"/>
      <c r="C383" s="142"/>
      <c r="D383" s="142"/>
      <c r="E383" s="142"/>
      <c r="F383" s="142"/>
      <c r="G383" s="142"/>
      <c r="H383" s="142"/>
      <c r="I383" s="159"/>
      <c r="J383" s="18" t="s">
        <v>29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e">
        <f t="shared" si="58"/>
        <v>#DIV/0!</v>
      </c>
      <c r="AA383" s="148"/>
      <c r="AB383" s="148"/>
      <c r="AC383" s="152"/>
      <c r="AD383" s="152"/>
      <c r="AE383" s="164"/>
      <c r="AF383" s="148"/>
      <c r="AG383" s="148"/>
      <c r="AH383" s="183"/>
    </row>
    <row r="384" spans="2:34" ht="35.1" customHeight="1" thickTop="1" thickBot="1" x14ac:dyDescent="0.25">
      <c r="B384" s="142"/>
      <c r="C384" s="142"/>
      <c r="D384" s="142"/>
      <c r="E384" s="142"/>
      <c r="F384" s="142"/>
      <c r="G384" s="142"/>
      <c r="H384" s="142"/>
      <c r="I384" s="159"/>
      <c r="J384" s="18" t="s">
        <v>28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e">
        <f t="shared" si="58"/>
        <v>#DIV/0!</v>
      </c>
      <c r="AA384" s="148"/>
      <c r="AB384" s="148"/>
      <c r="AC384" s="152"/>
      <c r="AD384" s="152"/>
      <c r="AE384" s="164"/>
      <c r="AF384" s="148"/>
      <c r="AG384" s="148"/>
      <c r="AH384" s="183"/>
    </row>
    <row r="385" spans="2:34" ht="35.1" customHeight="1" thickTop="1" thickBot="1" x14ac:dyDescent="0.25">
      <c r="B385" s="142"/>
      <c r="C385" s="142"/>
      <c r="D385" s="142"/>
      <c r="E385" s="142"/>
      <c r="F385" s="142"/>
      <c r="G385" s="142"/>
      <c r="H385" s="142"/>
      <c r="I385" s="159"/>
      <c r="J385" s="18" t="s">
        <v>27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e">
        <f t="shared" si="58"/>
        <v>#DIV/0!</v>
      </c>
      <c r="AA385" s="148"/>
      <c r="AB385" s="148"/>
      <c r="AC385" s="152"/>
      <c r="AD385" s="152"/>
      <c r="AE385" s="164"/>
      <c r="AF385" s="148"/>
      <c r="AG385" s="148"/>
      <c r="AH385" s="183"/>
    </row>
    <row r="386" spans="2:34" ht="35.1" customHeight="1" thickTop="1" thickBot="1" x14ac:dyDescent="0.25">
      <c r="B386" s="142"/>
      <c r="C386" s="142"/>
      <c r="D386" s="142"/>
      <c r="E386" s="142"/>
      <c r="F386" s="142"/>
      <c r="G386" s="142"/>
      <c r="H386" s="142"/>
      <c r="I386" s="159"/>
      <c r="J386" s="18" t="s">
        <v>26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e">
        <f t="shared" si="58"/>
        <v>#DIV/0!</v>
      </c>
      <c r="AA386" s="148"/>
      <c r="AB386" s="148"/>
      <c r="AC386" s="152"/>
      <c r="AD386" s="152"/>
      <c r="AE386" s="164"/>
      <c r="AF386" s="148"/>
      <c r="AG386" s="148"/>
      <c r="AH386" s="183"/>
    </row>
    <row r="387" spans="2:34" ht="35.1" customHeight="1" thickTop="1" thickBot="1" x14ac:dyDescent="0.25">
      <c r="B387" s="143"/>
      <c r="C387" s="143"/>
      <c r="D387" s="143"/>
      <c r="E387" s="143"/>
      <c r="F387" s="143"/>
      <c r="G387" s="143"/>
      <c r="H387" s="143"/>
      <c r="I387" s="160"/>
      <c r="J387" s="12" t="s">
        <v>25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e">
        <f t="shared" si="58"/>
        <v>#DIV/0!</v>
      </c>
      <c r="AA387" s="149"/>
      <c r="AB387" s="149"/>
      <c r="AC387" s="153"/>
      <c r="AD387" s="153"/>
      <c r="AE387" s="165"/>
      <c r="AF387" s="149"/>
      <c r="AG387" s="149"/>
      <c r="AH387" s="184"/>
    </row>
    <row r="388" spans="2:34" ht="35.1" customHeight="1" thickTop="1" thickBot="1" x14ac:dyDescent="0.25">
      <c r="B388" s="141"/>
      <c r="C388" s="141"/>
      <c r="D388" s="141"/>
      <c r="E388" s="141"/>
      <c r="F388" s="141"/>
      <c r="G388" s="141"/>
      <c r="H388" s="141"/>
      <c r="I388" s="158"/>
      <c r="J388" s="18" t="s">
        <v>30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e">
        <f t="shared" ref="Z388:Z451" si="69">(L388)/K388</f>
        <v>#DIV/0!</v>
      </c>
      <c r="AA388" s="147" t="e">
        <f>AVERAGE(Z388,Z389,Z390,Z393)</f>
        <v>#DIV/0!</v>
      </c>
      <c r="AB388" s="150"/>
      <c r="AC388" s="151"/>
      <c r="AD388" s="151"/>
      <c r="AE388" s="163"/>
      <c r="AF388" s="150"/>
      <c r="AG388" s="150"/>
      <c r="AH388" s="182" t="e">
        <f t="shared" ref="AH388" si="70">(AC388)/AB388</f>
        <v>#DIV/0!</v>
      </c>
    </row>
    <row r="389" spans="2:34" ht="35.1" customHeight="1" thickTop="1" thickBot="1" x14ac:dyDescent="0.25">
      <c r="B389" s="142"/>
      <c r="C389" s="142"/>
      <c r="D389" s="142"/>
      <c r="E389" s="142"/>
      <c r="F389" s="142"/>
      <c r="G389" s="142"/>
      <c r="H389" s="142"/>
      <c r="I389" s="159"/>
      <c r="J389" s="18" t="s">
        <v>29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e">
        <f t="shared" si="69"/>
        <v>#DIV/0!</v>
      </c>
      <c r="AA389" s="148"/>
      <c r="AB389" s="148"/>
      <c r="AC389" s="152"/>
      <c r="AD389" s="152"/>
      <c r="AE389" s="164"/>
      <c r="AF389" s="148"/>
      <c r="AG389" s="148"/>
      <c r="AH389" s="183"/>
    </row>
    <row r="390" spans="2:34" ht="35.1" customHeight="1" thickTop="1" thickBot="1" x14ac:dyDescent="0.25">
      <c r="B390" s="142"/>
      <c r="C390" s="142"/>
      <c r="D390" s="142"/>
      <c r="E390" s="142"/>
      <c r="F390" s="142"/>
      <c r="G390" s="142"/>
      <c r="H390" s="142"/>
      <c r="I390" s="159"/>
      <c r="J390" s="18" t="s">
        <v>28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e">
        <f t="shared" si="69"/>
        <v>#DIV/0!</v>
      </c>
      <c r="AA390" s="148"/>
      <c r="AB390" s="148"/>
      <c r="AC390" s="152"/>
      <c r="AD390" s="152"/>
      <c r="AE390" s="164"/>
      <c r="AF390" s="148"/>
      <c r="AG390" s="148"/>
      <c r="AH390" s="183"/>
    </row>
    <row r="391" spans="2:34" ht="35.1" customHeight="1" thickTop="1" thickBot="1" x14ac:dyDescent="0.25">
      <c r="B391" s="142"/>
      <c r="C391" s="142"/>
      <c r="D391" s="142"/>
      <c r="E391" s="142"/>
      <c r="F391" s="142"/>
      <c r="G391" s="142"/>
      <c r="H391" s="142"/>
      <c r="I391" s="159"/>
      <c r="J391" s="18" t="s">
        <v>27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e">
        <f t="shared" si="69"/>
        <v>#DIV/0!</v>
      </c>
      <c r="AA391" s="148"/>
      <c r="AB391" s="148"/>
      <c r="AC391" s="152"/>
      <c r="AD391" s="152"/>
      <c r="AE391" s="164"/>
      <c r="AF391" s="148"/>
      <c r="AG391" s="148"/>
      <c r="AH391" s="183"/>
    </row>
    <row r="392" spans="2:34" ht="35.1" customHeight="1" thickTop="1" thickBot="1" x14ac:dyDescent="0.25">
      <c r="B392" s="142"/>
      <c r="C392" s="142"/>
      <c r="D392" s="142"/>
      <c r="E392" s="142"/>
      <c r="F392" s="142"/>
      <c r="G392" s="142"/>
      <c r="H392" s="142"/>
      <c r="I392" s="159"/>
      <c r="J392" s="18" t="s">
        <v>26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e">
        <f t="shared" si="69"/>
        <v>#DIV/0!</v>
      </c>
      <c r="AA392" s="148"/>
      <c r="AB392" s="148"/>
      <c r="AC392" s="152"/>
      <c r="AD392" s="152"/>
      <c r="AE392" s="164"/>
      <c r="AF392" s="148"/>
      <c r="AG392" s="148"/>
      <c r="AH392" s="183"/>
    </row>
    <row r="393" spans="2:34" ht="35.1" customHeight="1" thickTop="1" thickBot="1" x14ac:dyDescent="0.25">
      <c r="B393" s="143"/>
      <c r="C393" s="143"/>
      <c r="D393" s="143"/>
      <c r="E393" s="143"/>
      <c r="F393" s="143"/>
      <c r="G393" s="143"/>
      <c r="H393" s="143"/>
      <c r="I393" s="160"/>
      <c r="J393" s="12" t="s">
        <v>25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e">
        <f t="shared" si="69"/>
        <v>#DIV/0!</v>
      </c>
      <c r="AA393" s="149"/>
      <c r="AB393" s="149"/>
      <c r="AC393" s="153"/>
      <c r="AD393" s="153"/>
      <c r="AE393" s="165"/>
      <c r="AF393" s="149"/>
      <c r="AG393" s="149"/>
      <c r="AH393" s="184"/>
    </row>
    <row r="394" spans="2:34" ht="35.1" customHeight="1" thickTop="1" thickBot="1" x14ac:dyDescent="0.25">
      <c r="B394" s="141"/>
      <c r="C394" s="141"/>
      <c r="D394" s="141"/>
      <c r="E394" s="141"/>
      <c r="F394" s="141"/>
      <c r="G394" s="141"/>
      <c r="H394" s="141"/>
      <c r="I394" s="158"/>
      <c r="J394" s="18" t="s">
        <v>30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e">
        <f t="shared" si="69"/>
        <v>#DIV/0!</v>
      </c>
      <c r="AA394" s="147" t="e">
        <f>AVERAGE(Z394,Z395,Z396,Z399)</f>
        <v>#DIV/0!</v>
      </c>
      <c r="AB394" s="150"/>
      <c r="AC394" s="151"/>
      <c r="AD394" s="151"/>
      <c r="AE394" s="163"/>
      <c r="AF394" s="150"/>
      <c r="AG394" s="150"/>
      <c r="AH394" s="182" t="e">
        <f t="shared" ref="AH394" si="71">(AC394)/AB394</f>
        <v>#DIV/0!</v>
      </c>
    </row>
    <row r="395" spans="2:34" ht="35.1" customHeight="1" thickTop="1" thickBot="1" x14ac:dyDescent="0.25">
      <c r="B395" s="142"/>
      <c r="C395" s="142"/>
      <c r="D395" s="142"/>
      <c r="E395" s="142"/>
      <c r="F395" s="142"/>
      <c r="G395" s="142"/>
      <c r="H395" s="142"/>
      <c r="I395" s="159"/>
      <c r="J395" s="18" t="s">
        <v>29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e">
        <f t="shared" si="69"/>
        <v>#DIV/0!</v>
      </c>
      <c r="AA395" s="148"/>
      <c r="AB395" s="148"/>
      <c r="AC395" s="152"/>
      <c r="AD395" s="152"/>
      <c r="AE395" s="164"/>
      <c r="AF395" s="148"/>
      <c r="AG395" s="148"/>
      <c r="AH395" s="183"/>
    </row>
    <row r="396" spans="2:34" ht="35.1" customHeight="1" thickTop="1" thickBot="1" x14ac:dyDescent="0.25">
      <c r="B396" s="142"/>
      <c r="C396" s="142"/>
      <c r="D396" s="142"/>
      <c r="E396" s="142"/>
      <c r="F396" s="142"/>
      <c r="G396" s="142"/>
      <c r="H396" s="142"/>
      <c r="I396" s="159"/>
      <c r="J396" s="18" t="s">
        <v>28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e">
        <f t="shared" si="69"/>
        <v>#DIV/0!</v>
      </c>
      <c r="AA396" s="148"/>
      <c r="AB396" s="148"/>
      <c r="AC396" s="152"/>
      <c r="AD396" s="152"/>
      <c r="AE396" s="164"/>
      <c r="AF396" s="148"/>
      <c r="AG396" s="148"/>
      <c r="AH396" s="183"/>
    </row>
    <row r="397" spans="2:34" ht="35.1" customHeight="1" thickTop="1" thickBot="1" x14ac:dyDescent="0.25">
      <c r="B397" s="142"/>
      <c r="C397" s="142"/>
      <c r="D397" s="142"/>
      <c r="E397" s="142"/>
      <c r="F397" s="142"/>
      <c r="G397" s="142"/>
      <c r="H397" s="142"/>
      <c r="I397" s="159"/>
      <c r="J397" s="18" t="s">
        <v>27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e">
        <f t="shared" si="69"/>
        <v>#DIV/0!</v>
      </c>
      <c r="AA397" s="148"/>
      <c r="AB397" s="148"/>
      <c r="AC397" s="152"/>
      <c r="AD397" s="152"/>
      <c r="AE397" s="164"/>
      <c r="AF397" s="148"/>
      <c r="AG397" s="148"/>
      <c r="AH397" s="183"/>
    </row>
    <row r="398" spans="2:34" ht="35.1" customHeight="1" thickTop="1" thickBot="1" x14ac:dyDescent="0.25">
      <c r="B398" s="142"/>
      <c r="C398" s="142"/>
      <c r="D398" s="142"/>
      <c r="E398" s="142"/>
      <c r="F398" s="142"/>
      <c r="G398" s="142"/>
      <c r="H398" s="142"/>
      <c r="I398" s="159"/>
      <c r="J398" s="18" t="s">
        <v>26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e">
        <f t="shared" si="69"/>
        <v>#DIV/0!</v>
      </c>
      <c r="AA398" s="148"/>
      <c r="AB398" s="148"/>
      <c r="AC398" s="152"/>
      <c r="AD398" s="152"/>
      <c r="AE398" s="164"/>
      <c r="AF398" s="148"/>
      <c r="AG398" s="148"/>
      <c r="AH398" s="183"/>
    </row>
    <row r="399" spans="2:34" ht="35.1" customHeight="1" thickTop="1" thickBot="1" x14ac:dyDescent="0.25">
      <c r="B399" s="143"/>
      <c r="C399" s="143"/>
      <c r="D399" s="143"/>
      <c r="E399" s="143"/>
      <c r="F399" s="143"/>
      <c r="G399" s="143"/>
      <c r="H399" s="143"/>
      <c r="I399" s="160"/>
      <c r="J399" s="12" t="s">
        <v>25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e">
        <f t="shared" si="69"/>
        <v>#DIV/0!</v>
      </c>
      <c r="AA399" s="149"/>
      <c r="AB399" s="149"/>
      <c r="AC399" s="153"/>
      <c r="AD399" s="153"/>
      <c r="AE399" s="165"/>
      <c r="AF399" s="149"/>
      <c r="AG399" s="149"/>
      <c r="AH399" s="184"/>
    </row>
    <row r="400" spans="2:34" ht="35.1" customHeight="1" thickTop="1" thickBot="1" x14ac:dyDescent="0.25">
      <c r="B400" s="141"/>
      <c r="C400" s="141"/>
      <c r="D400" s="141"/>
      <c r="E400" s="141"/>
      <c r="F400" s="141"/>
      <c r="G400" s="141"/>
      <c r="H400" s="141"/>
      <c r="I400" s="158"/>
      <c r="J400" s="18" t="s">
        <v>30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e">
        <f t="shared" si="69"/>
        <v>#DIV/0!</v>
      </c>
      <c r="AA400" s="147" t="e">
        <f>AVERAGE(Z400,Z401,Z402,Z405)</f>
        <v>#DIV/0!</v>
      </c>
      <c r="AB400" s="150"/>
      <c r="AC400" s="151"/>
      <c r="AD400" s="151"/>
      <c r="AE400" s="163"/>
      <c r="AF400" s="150"/>
      <c r="AG400" s="150"/>
      <c r="AH400" s="182" t="e">
        <f t="shared" ref="AH400" si="72">(AC400)/AB400</f>
        <v>#DIV/0!</v>
      </c>
    </row>
    <row r="401" spans="2:34" ht="35.1" customHeight="1" thickTop="1" thickBot="1" x14ac:dyDescent="0.25">
      <c r="B401" s="142"/>
      <c r="C401" s="142"/>
      <c r="D401" s="142"/>
      <c r="E401" s="142"/>
      <c r="F401" s="142"/>
      <c r="G401" s="142"/>
      <c r="H401" s="142"/>
      <c r="I401" s="159"/>
      <c r="J401" s="18" t="s">
        <v>29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e">
        <f t="shared" si="69"/>
        <v>#DIV/0!</v>
      </c>
      <c r="AA401" s="148"/>
      <c r="AB401" s="148"/>
      <c r="AC401" s="152"/>
      <c r="AD401" s="152"/>
      <c r="AE401" s="164"/>
      <c r="AF401" s="148"/>
      <c r="AG401" s="148"/>
      <c r="AH401" s="183"/>
    </row>
    <row r="402" spans="2:34" ht="35.1" customHeight="1" thickTop="1" thickBot="1" x14ac:dyDescent="0.25">
      <c r="B402" s="142"/>
      <c r="C402" s="142"/>
      <c r="D402" s="142"/>
      <c r="E402" s="142"/>
      <c r="F402" s="142"/>
      <c r="G402" s="142"/>
      <c r="H402" s="142"/>
      <c r="I402" s="159"/>
      <c r="J402" s="18" t="s">
        <v>28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e">
        <f t="shared" si="69"/>
        <v>#DIV/0!</v>
      </c>
      <c r="AA402" s="148"/>
      <c r="AB402" s="148"/>
      <c r="AC402" s="152"/>
      <c r="AD402" s="152"/>
      <c r="AE402" s="164"/>
      <c r="AF402" s="148"/>
      <c r="AG402" s="148"/>
      <c r="AH402" s="183"/>
    </row>
    <row r="403" spans="2:34" ht="35.1" customHeight="1" thickTop="1" thickBot="1" x14ac:dyDescent="0.25">
      <c r="B403" s="142"/>
      <c r="C403" s="142"/>
      <c r="D403" s="142"/>
      <c r="E403" s="142"/>
      <c r="F403" s="142"/>
      <c r="G403" s="142"/>
      <c r="H403" s="142"/>
      <c r="I403" s="159"/>
      <c r="J403" s="18" t="s">
        <v>27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e">
        <f t="shared" si="69"/>
        <v>#DIV/0!</v>
      </c>
      <c r="AA403" s="148"/>
      <c r="AB403" s="148"/>
      <c r="AC403" s="152"/>
      <c r="AD403" s="152"/>
      <c r="AE403" s="164"/>
      <c r="AF403" s="148"/>
      <c r="AG403" s="148"/>
      <c r="AH403" s="183"/>
    </row>
    <row r="404" spans="2:34" ht="35.1" customHeight="1" thickTop="1" thickBot="1" x14ac:dyDescent="0.25">
      <c r="B404" s="142"/>
      <c r="C404" s="142"/>
      <c r="D404" s="142"/>
      <c r="E404" s="142"/>
      <c r="F404" s="142"/>
      <c r="G404" s="142"/>
      <c r="H404" s="142"/>
      <c r="I404" s="159"/>
      <c r="J404" s="18" t="s">
        <v>26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e">
        <f t="shared" si="69"/>
        <v>#DIV/0!</v>
      </c>
      <c r="AA404" s="148"/>
      <c r="AB404" s="148"/>
      <c r="AC404" s="152"/>
      <c r="AD404" s="152"/>
      <c r="AE404" s="164"/>
      <c r="AF404" s="148"/>
      <c r="AG404" s="148"/>
      <c r="AH404" s="183"/>
    </row>
    <row r="405" spans="2:34" ht="35.1" customHeight="1" thickTop="1" thickBot="1" x14ac:dyDescent="0.25">
      <c r="B405" s="143"/>
      <c r="C405" s="143"/>
      <c r="D405" s="143"/>
      <c r="E405" s="143"/>
      <c r="F405" s="143"/>
      <c r="G405" s="143"/>
      <c r="H405" s="143"/>
      <c r="I405" s="160"/>
      <c r="J405" s="12" t="s">
        <v>25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e">
        <f t="shared" si="69"/>
        <v>#DIV/0!</v>
      </c>
      <c r="AA405" s="149"/>
      <c r="AB405" s="149"/>
      <c r="AC405" s="153"/>
      <c r="AD405" s="153"/>
      <c r="AE405" s="165"/>
      <c r="AF405" s="149"/>
      <c r="AG405" s="149"/>
      <c r="AH405" s="184"/>
    </row>
    <row r="406" spans="2:34" ht="35.1" customHeight="1" thickTop="1" thickBot="1" x14ac:dyDescent="0.25">
      <c r="B406" s="141"/>
      <c r="C406" s="141"/>
      <c r="D406" s="141"/>
      <c r="E406" s="141"/>
      <c r="F406" s="141"/>
      <c r="G406" s="141"/>
      <c r="H406" s="141"/>
      <c r="I406" s="158"/>
      <c r="J406" s="18" t="s">
        <v>30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e">
        <f t="shared" si="69"/>
        <v>#DIV/0!</v>
      </c>
      <c r="AA406" s="147" t="e">
        <f>AVERAGE(Z406,Z407,Z408,Z411)</f>
        <v>#DIV/0!</v>
      </c>
      <c r="AB406" s="150"/>
      <c r="AC406" s="151"/>
      <c r="AD406" s="151"/>
      <c r="AE406" s="163"/>
      <c r="AF406" s="150"/>
      <c r="AG406" s="150"/>
      <c r="AH406" s="182" t="e">
        <f t="shared" ref="AH406" si="73">(AC406)/AB406</f>
        <v>#DIV/0!</v>
      </c>
    </row>
    <row r="407" spans="2:34" ht="35.1" customHeight="1" thickTop="1" thickBot="1" x14ac:dyDescent="0.25">
      <c r="B407" s="142"/>
      <c r="C407" s="142"/>
      <c r="D407" s="142"/>
      <c r="E407" s="142"/>
      <c r="F407" s="142"/>
      <c r="G407" s="142"/>
      <c r="H407" s="142"/>
      <c r="I407" s="159"/>
      <c r="J407" s="18" t="s">
        <v>29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e">
        <f t="shared" si="69"/>
        <v>#DIV/0!</v>
      </c>
      <c r="AA407" s="148"/>
      <c r="AB407" s="148"/>
      <c r="AC407" s="152"/>
      <c r="AD407" s="152"/>
      <c r="AE407" s="164"/>
      <c r="AF407" s="148"/>
      <c r="AG407" s="148"/>
      <c r="AH407" s="183"/>
    </row>
    <row r="408" spans="2:34" ht="35.1" customHeight="1" thickTop="1" thickBot="1" x14ac:dyDescent="0.25">
      <c r="B408" s="142"/>
      <c r="C408" s="142"/>
      <c r="D408" s="142"/>
      <c r="E408" s="142"/>
      <c r="F408" s="142"/>
      <c r="G408" s="142"/>
      <c r="H408" s="142"/>
      <c r="I408" s="159"/>
      <c r="J408" s="18" t="s">
        <v>28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e">
        <f t="shared" si="69"/>
        <v>#DIV/0!</v>
      </c>
      <c r="AA408" s="148"/>
      <c r="AB408" s="148"/>
      <c r="AC408" s="152"/>
      <c r="AD408" s="152"/>
      <c r="AE408" s="164"/>
      <c r="AF408" s="148"/>
      <c r="AG408" s="148"/>
      <c r="AH408" s="183"/>
    </row>
    <row r="409" spans="2:34" ht="35.1" customHeight="1" thickTop="1" thickBot="1" x14ac:dyDescent="0.25">
      <c r="B409" s="142"/>
      <c r="C409" s="142"/>
      <c r="D409" s="142"/>
      <c r="E409" s="142"/>
      <c r="F409" s="142"/>
      <c r="G409" s="142"/>
      <c r="H409" s="142"/>
      <c r="I409" s="159"/>
      <c r="J409" s="18" t="s">
        <v>27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e">
        <f t="shared" si="69"/>
        <v>#DIV/0!</v>
      </c>
      <c r="AA409" s="148"/>
      <c r="AB409" s="148"/>
      <c r="AC409" s="152"/>
      <c r="AD409" s="152"/>
      <c r="AE409" s="164"/>
      <c r="AF409" s="148"/>
      <c r="AG409" s="148"/>
      <c r="AH409" s="183"/>
    </row>
    <row r="410" spans="2:34" ht="35.1" customHeight="1" thickTop="1" thickBot="1" x14ac:dyDescent="0.25">
      <c r="B410" s="142"/>
      <c r="C410" s="142"/>
      <c r="D410" s="142"/>
      <c r="E410" s="142"/>
      <c r="F410" s="142"/>
      <c r="G410" s="142"/>
      <c r="H410" s="142"/>
      <c r="I410" s="159"/>
      <c r="J410" s="18" t="s">
        <v>26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e">
        <f t="shared" si="69"/>
        <v>#DIV/0!</v>
      </c>
      <c r="AA410" s="148"/>
      <c r="AB410" s="148"/>
      <c r="AC410" s="152"/>
      <c r="AD410" s="152"/>
      <c r="AE410" s="164"/>
      <c r="AF410" s="148"/>
      <c r="AG410" s="148"/>
      <c r="AH410" s="183"/>
    </row>
    <row r="411" spans="2:34" ht="35.1" customHeight="1" thickTop="1" thickBot="1" x14ac:dyDescent="0.25">
      <c r="B411" s="143"/>
      <c r="C411" s="143"/>
      <c r="D411" s="143"/>
      <c r="E411" s="143"/>
      <c r="F411" s="143"/>
      <c r="G411" s="143"/>
      <c r="H411" s="143"/>
      <c r="I411" s="160"/>
      <c r="J411" s="12" t="s">
        <v>25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e">
        <f t="shared" si="69"/>
        <v>#DIV/0!</v>
      </c>
      <c r="AA411" s="149"/>
      <c r="AB411" s="149"/>
      <c r="AC411" s="153"/>
      <c r="AD411" s="153"/>
      <c r="AE411" s="165"/>
      <c r="AF411" s="149"/>
      <c r="AG411" s="149"/>
      <c r="AH411" s="184"/>
    </row>
    <row r="412" spans="2:34" ht="35.1" customHeight="1" thickTop="1" thickBot="1" x14ac:dyDescent="0.25">
      <c r="B412" s="141"/>
      <c r="C412" s="141"/>
      <c r="D412" s="141"/>
      <c r="E412" s="141"/>
      <c r="F412" s="141"/>
      <c r="G412" s="141"/>
      <c r="H412" s="141"/>
      <c r="I412" s="158"/>
      <c r="J412" s="18" t="s">
        <v>30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e">
        <f t="shared" si="69"/>
        <v>#DIV/0!</v>
      </c>
      <c r="AA412" s="147" t="e">
        <f>AVERAGE(Z412,Z413,Z414,Z417)</f>
        <v>#DIV/0!</v>
      </c>
      <c r="AB412" s="150"/>
      <c r="AC412" s="151"/>
      <c r="AD412" s="151"/>
      <c r="AE412" s="163"/>
      <c r="AF412" s="150"/>
      <c r="AG412" s="150"/>
      <c r="AH412" s="182" t="e">
        <f t="shared" ref="AH412" si="74">(AC412)/AB412</f>
        <v>#DIV/0!</v>
      </c>
    </row>
    <row r="413" spans="2:34" ht="35.1" customHeight="1" thickTop="1" thickBot="1" x14ac:dyDescent="0.25">
      <c r="B413" s="142"/>
      <c r="C413" s="142"/>
      <c r="D413" s="142"/>
      <c r="E413" s="142"/>
      <c r="F413" s="142"/>
      <c r="G413" s="142"/>
      <c r="H413" s="142"/>
      <c r="I413" s="159"/>
      <c r="J413" s="18" t="s">
        <v>29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e">
        <f t="shared" si="69"/>
        <v>#DIV/0!</v>
      </c>
      <c r="AA413" s="148"/>
      <c r="AB413" s="148"/>
      <c r="AC413" s="152"/>
      <c r="AD413" s="152"/>
      <c r="AE413" s="164"/>
      <c r="AF413" s="148"/>
      <c r="AG413" s="148"/>
      <c r="AH413" s="183"/>
    </row>
    <row r="414" spans="2:34" ht="35.1" customHeight="1" thickTop="1" thickBot="1" x14ac:dyDescent="0.25">
      <c r="B414" s="142"/>
      <c r="C414" s="142"/>
      <c r="D414" s="142"/>
      <c r="E414" s="142"/>
      <c r="F414" s="142"/>
      <c r="G414" s="142"/>
      <c r="H414" s="142"/>
      <c r="I414" s="159"/>
      <c r="J414" s="18" t="s">
        <v>28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e">
        <f t="shared" si="69"/>
        <v>#DIV/0!</v>
      </c>
      <c r="AA414" s="148"/>
      <c r="AB414" s="148"/>
      <c r="AC414" s="152"/>
      <c r="AD414" s="152"/>
      <c r="AE414" s="164"/>
      <c r="AF414" s="148"/>
      <c r="AG414" s="148"/>
      <c r="AH414" s="183"/>
    </row>
    <row r="415" spans="2:34" ht="35.1" customHeight="1" thickTop="1" thickBot="1" x14ac:dyDescent="0.25">
      <c r="B415" s="142"/>
      <c r="C415" s="142"/>
      <c r="D415" s="142"/>
      <c r="E415" s="142"/>
      <c r="F415" s="142"/>
      <c r="G415" s="142"/>
      <c r="H415" s="142"/>
      <c r="I415" s="159"/>
      <c r="J415" s="18" t="s">
        <v>27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e">
        <f t="shared" si="69"/>
        <v>#DIV/0!</v>
      </c>
      <c r="AA415" s="148"/>
      <c r="AB415" s="148"/>
      <c r="AC415" s="152"/>
      <c r="AD415" s="152"/>
      <c r="AE415" s="164"/>
      <c r="AF415" s="148"/>
      <c r="AG415" s="148"/>
      <c r="AH415" s="183"/>
    </row>
    <row r="416" spans="2:34" ht="35.1" customHeight="1" thickTop="1" thickBot="1" x14ac:dyDescent="0.25">
      <c r="B416" s="142"/>
      <c r="C416" s="142"/>
      <c r="D416" s="142"/>
      <c r="E416" s="142"/>
      <c r="F416" s="142"/>
      <c r="G416" s="142"/>
      <c r="H416" s="142"/>
      <c r="I416" s="159"/>
      <c r="J416" s="18" t="s">
        <v>26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e">
        <f t="shared" si="69"/>
        <v>#DIV/0!</v>
      </c>
      <c r="AA416" s="148"/>
      <c r="AB416" s="148"/>
      <c r="AC416" s="152"/>
      <c r="AD416" s="152"/>
      <c r="AE416" s="164"/>
      <c r="AF416" s="148"/>
      <c r="AG416" s="148"/>
      <c r="AH416" s="183"/>
    </row>
    <row r="417" spans="2:34" ht="35.1" customHeight="1" thickTop="1" thickBot="1" x14ac:dyDescent="0.25">
      <c r="B417" s="143"/>
      <c r="C417" s="143"/>
      <c r="D417" s="143"/>
      <c r="E417" s="143"/>
      <c r="F417" s="143"/>
      <c r="G417" s="143"/>
      <c r="H417" s="143"/>
      <c r="I417" s="160"/>
      <c r="J417" s="12" t="s">
        <v>25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e">
        <f t="shared" si="69"/>
        <v>#DIV/0!</v>
      </c>
      <c r="AA417" s="149"/>
      <c r="AB417" s="149"/>
      <c r="AC417" s="153"/>
      <c r="AD417" s="153"/>
      <c r="AE417" s="165"/>
      <c r="AF417" s="149"/>
      <c r="AG417" s="149"/>
      <c r="AH417" s="184"/>
    </row>
    <row r="418" spans="2:34" ht="35.1" customHeight="1" thickTop="1" thickBot="1" x14ac:dyDescent="0.25">
      <c r="B418" s="141"/>
      <c r="C418" s="141"/>
      <c r="D418" s="141"/>
      <c r="E418" s="141"/>
      <c r="F418" s="141"/>
      <c r="G418" s="141"/>
      <c r="H418" s="141"/>
      <c r="I418" s="158"/>
      <c r="J418" s="18" t="s">
        <v>30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e">
        <f t="shared" si="69"/>
        <v>#DIV/0!</v>
      </c>
      <c r="AA418" s="147" t="e">
        <f>AVERAGE(Z418,Z419,Z420,Z423)</f>
        <v>#DIV/0!</v>
      </c>
      <c r="AB418" s="150"/>
      <c r="AC418" s="151"/>
      <c r="AD418" s="151"/>
      <c r="AE418" s="163"/>
      <c r="AF418" s="150"/>
      <c r="AG418" s="150"/>
      <c r="AH418" s="182" t="e">
        <f t="shared" ref="AH418" si="75">(AC418)/AB418</f>
        <v>#DIV/0!</v>
      </c>
    </row>
    <row r="419" spans="2:34" ht="35.1" customHeight="1" thickTop="1" thickBot="1" x14ac:dyDescent="0.25">
      <c r="B419" s="142"/>
      <c r="C419" s="142"/>
      <c r="D419" s="142"/>
      <c r="E419" s="142"/>
      <c r="F419" s="142"/>
      <c r="G419" s="142"/>
      <c r="H419" s="142"/>
      <c r="I419" s="159"/>
      <c r="J419" s="18" t="s">
        <v>29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e">
        <f t="shared" si="69"/>
        <v>#DIV/0!</v>
      </c>
      <c r="AA419" s="148"/>
      <c r="AB419" s="148"/>
      <c r="AC419" s="152"/>
      <c r="AD419" s="152"/>
      <c r="AE419" s="164"/>
      <c r="AF419" s="148"/>
      <c r="AG419" s="148"/>
      <c r="AH419" s="183"/>
    </row>
    <row r="420" spans="2:34" ht="35.1" customHeight="1" thickTop="1" thickBot="1" x14ac:dyDescent="0.25">
      <c r="B420" s="142"/>
      <c r="C420" s="142"/>
      <c r="D420" s="142"/>
      <c r="E420" s="142"/>
      <c r="F420" s="142"/>
      <c r="G420" s="142"/>
      <c r="H420" s="142"/>
      <c r="I420" s="159"/>
      <c r="J420" s="18" t="s">
        <v>28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e">
        <f t="shared" si="69"/>
        <v>#DIV/0!</v>
      </c>
      <c r="AA420" s="148"/>
      <c r="AB420" s="148"/>
      <c r="AC420" s="152"/>
      <c r="AD420" s="152"/>
      <c r="AE420" s="164"/>
      <c r="AF420" s="148"/>
      <c r="AG420" s="148"/>
      <c r="AH420" s="183"/>
    </row>
    <row r="421" spans="2:34" ht="35.1" customHeight="1" thickTop="1" thickBot="1" x14ac:dyDescent="0.25">
      <c r="B421" s="142"/>
      <c r="C421" s="142"/>
      <c r="D421" s="142"/>
      <c r="E421" s="142"/>
      <c r="F421" s="142"/>
      <c r="G421" s="142"/>
      <c r="H421" s="142"/>
      <c r="I421" s="159"/>
      <c r="J421" s="18" t="s">
        <v>27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e">
        <f t="shared" si="69"/>
        <v>#DIV/0!</v>
      </c>
      <c r="AA421" s="148"/>
      <c r="AB421" s="148"/>
      <c r="AC421" s="152"/>
      <c r="AD421" s="152"/>
      <c r="AE421" s="164"/>
      <c r="AF421" s="148"/>
      <c r="AG421" s="148"/>
      <c r="AH421" s="183"/>
    </row>
    <row r="422" spans="2:34" ht="35.1" customHeight="1" thickTop="1" thickBot="1" x14ac:dyDescent="0.25">
      <c r="B422" s="142"/>
      <c r="C422" s="142"/>
      <c r="D422" s="142"/>
      <c r="E422" s="142"/>
      <c r="F422" s="142"/>
      <c r="G422" s="142"/>
      <c r="H422" s="142"/>
      <c r="I422" s="159"/>
      <c r="J422" s="18" t="s">
        <v>26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e">
        <f t="shared" si="69"/>
        <v>#DIV/0!</v>
      </c>
      <c r="AA422" s="148"/>
      <c r="AB422" s="148"/>
      <c r="AC422" s="152"/>
      <c r="AD422" s="152"/>
      <c r="AE422" s="164"/>
      <c r="AF422" s="148"/>
      <c r="AG422" s="148"/>
      <c r="AH422" s="183"/>
    </row>
    <row r="423" spans="2:34" ht="35.1" customHeight="1" thickTop="1" thickBot="1" x14ac:dyDescent="0.25">
      <c r="B423" s="143"/>
      <c r="C423" s="143"/>
      <c r="D423" s="143"/>
      <c r="E423" s="143"/>
      <c r="F423" s="143"/>
      <c r="G423" s="143"/>
      <c r="H423" s="143"/>
      <c r="I423" s="160"/>
      <c r="J423" s="12" t="s">
        <v>25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e">
        <f t="shared" si="69"/>
        <v>#DIV/0!</v>
      </c>
      <c r="AA423" s="149"/>
      <c r="AB423" s="149"/>
      <c r="AC423" s="153"/>
      <c r="AD423" s="153"/>
      <c r="AE423" s="165"/>
      <c r="AF423" s="149"/>
      <c r="AG423" s="149"/>
      <c r="AH423" s="184"/>
    </row>
    <row r="424" spans="2:34" ht="35.1" customHeight="1" thickTop="1" thickBot="1" x14ac:dyDescent="0.25">
      <c r="B424" s="141"/>
      <c r="C424" s="141"/>
      <c r="D424" s="141"/>
      <c r="E424" s="141"/>
      <c r="F424" s="141"/>
      <c r="G424" s="141"/>
      <c r="H424" s="141"/>
      <c r="I424" s="158"/>
      <c r="J424" s="18" t="s">
        <v>30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e">
        <f t="shared" si="69"/>
        <v>#DIV/0!</v>
      </c>
      <c r="AA424" s="147" t="e">
        <f>AVERAGE(Z424,Z425,Z426,Z429)</f>
        <v>#DIV/0!</v>
      </c>
      <c r="AB424" s="150"/>
      <c r="AC424" s="151"/>
      <c r="AD424" s="151"/>
      <c r="AE424" s="163"/>
      <c r="AF424" s="150"/>
      <c r="AG424" s="150"/>
      <c r="AH424" s="182" t="e">
        <f t="shared" ref="AH424" si="76">(AC424)/AB424</f>
        <v>#DIV/0!</v>
      </c>
    </row>
    <row r="425" spans="2:34" ht="35.1" customHeight="1" thickTop="1" thickBot="1" x14ac:dyDescent="0.25">
      <c r="B425" s="142"/>
      <c r="C425" s="142"/>
      <c r="D425" s="142"/>
      <c r="E425" s="142"/>
      <c r="F425" s="142"/>
      <c r="G425" s="142"/>
      <c r="H425" s="142"/>
      <c r="I425" s="159"/>
      <c r="J425" s="18" t="s">
        <v>29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e">
        <f t="shared" si="69"/>
        <v>#DIV/0!</v>
      </c>
      <c r="AA425" s="148"/>
      <c r="AB425" s="148"/>
      <c r="AC425" s="152"/>
      <c r="AD425" s="152"/>
      <c r="AE425" s="164"/>
      <c r="AF425" s="148"/>
      <c r="AG425" s="148"/>
      <c r="AH425" s="183"/>
    </row>
    <row r="426" spans="2:34" ht="35.1" customHeight="1" thickTop="1" thickBot="1" x14ac:dyDescent="0.25">
      <c r="B426" s="142"/>
      <c r="C426" s="142"/>
      <c r="D426" s="142"/>
      <c r="E426" s="142"/>
      <c r="F426" s="142"/>
      <c r="G426" s="142"/>
      <c r="H426" s="142"/>
      <c r="I426" s="159"/>
      <c r="J426" s="18" t="s">
        <v>28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e">
        <f t="shared" si="69"/>
        <v>#DIV/0!</v>
      </c>
      <c r="AA426" s="148"/>
      <c r="AB426" s="148"/>
      <c r="AC426" s="152"/>
      <c r="AD426" s="152"/>
      <c r="AE426" s="164"/>
      <c r="AF426" s="148"/>
      <c r="AG426" s="148"/>
      <c r="AH426" s="183"/>
    </row>
    <row r="427" spans="2:34" ht="35.1" customHeight="1" thickTop="1" thickBot="1" x14ac:dyDescent="0.25">
      <c r="B427" s="142"/>
      <c r="C427" s="142"/>
      <c r="D427" s="142"/>
      <c r="E427" s="142"/>
      <c r="F427" s="142"/>
      <c r="G427" s="142"/>
      <c r="H427" s="142"/>
      <c r="I427" s="159"/>
      <c r="J427" s="18" t="s">
        <v>27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e">
        <f t="shared" si="69"/>
        <v>#DIV/0!</v>
      </c>
      <c r="AA427" s="148"/>
      <c r="AB427" s="148"/>
      <c r="AC427" s="152"/>
      <c r="AD427" s="152"/>
      <c r="AE427" s="164"/>
      <c r="AF427" s="148"/>
      <c r="AG427" s="148"/>
      <c r="AH427" s="183"/>
    </row>
    <row r="428" spans="2:34" ht="35.1" customHeight="1" thickTop="1" thickBot="1" x14ac:dyDescent="0.25">
      <c r="B428" s="142"/>
      <c r="C428" s="142"/>
      <c r="D428" s="142"/>
      <c r="E428" s="142"/>
      <c r="F428" s="142"/>
      <c r="G428" s="142"/>
      <c r="H428" s="142"/>
      <c r="I428" s="159"/>
      <c r="J428" s="18" t="s">
        <v>26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e">
        <f t="shared" si="69"/>
        <v>#DIV/0!</v>
      </c>
      <c r="AA428" s="148"/>
      <c r="AB428" s="148"/>
      <c r="AC428" s="152"/>
      <c r="AD428" s="152"/>
      <c r="AE428" s="164"/>
      <c r="AF428" s="148"/>
      <c r="AG428" s="148"/>
      <c r="AH428" s="183"/>
    </row>
    <row r="429" spans="2:34" ht="35.1" customHeight="1" thickTop="1" thickBot="1" x14ac:dyDescent="0.25">
      <c r="B429" s="143"/>
      <c r="C429" s="143"/>
      <c r="D429" s="143"/>
      <c r="E429" s="143"/>
      <c r="F429" s="143"/>
      <c r="G429" s="143"/>
      <c r="H429" s="143"/>
      <c r="I429" s="160"/>
      <c r="J429" s="12" t="s">
        <v>25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e">
        <f t="shared" si="69"/>
        <v>#DIV/0!</v>
      </c>
      <c r="AA429" s="149"/>
      <c r="AB429" s="149"/>
      <c r="AC429" s="153"/>
      <c r="AD429" s="153"/>
      <c r="AE429" s="165"/>
      <c r="AF429" s="149"/>
      <c r="AG429" s="149"/>
      <c r="AH429" s="184"/>
    </row>
    <row r="430" spans="2:34" ht="35.1" customHeight="1" thickTop="1" thickBot="1" x14ac:dyDescent="0.25">
      <c r="B430" s="141"/>
      <c r="C430" s="141"/>
      <c r="D430" s="141"/>
      <c r="E430" s="141"/>
      <c r="F430" s="141"/>
      <c r="G430" s="141"/>
      <c r="H430" s="141"/>
      <c r="I430" s="158"/>
      <c r="J430" s="18" t="s">
        <v>30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e">
        <f t="shared" si="69"/>
        <v>#DIV/0!</v>
      </c>
      <c r="AA430" s="147" t="e">
        <f>AVERAGE(Z430,Z431,Z432,Z435)</f>
        <v>#DIV/0!</v>
      </c>
      <c r="AB430" s="150"/>
      <c r="AC430" s="151"/>
      <c r="AD430" s="151"/>
      <c r="AE430" s="163"/>
      <c r="AF430" s="150"/>
      <c r="AG430" s="150"/>
      <c r="AH430" s="182" t="e">
        <f t="shared" ref="AH430" si="77">(AC430)/AB430</f>
        <v>#DIV/0!</v>
      </c>
    </row>
    <row r="431" spans="2:34" ht="35.1" customHeight="1" thickTop="1" thickBot="1" x14ac:dyDescent="0.25">
      <c r="B431" s="142"/>
      <c r="C431" s="142"/>
      <c r="D431" s="142"/>
      <c r="E431" s="142"/>
      <c r="F431" s="142"/>
      <c r="G431" s="142"/>
      <c r="H431" s="142"/>
      <c r="I431" s="159"/>
      <c r="J431" s="18" t="s">
        <v>29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e">
        <f t="shared" si="69"/>
        <v>#DIV/0!</v>
      </c>
      <c r="AA431" s="148"/>
      <c r="AB431" s="148"/>
      <c r="AC431" s="152"/>
      <c r="AD431" s="152"/>
      <c r="AE431" s="164"/>
      <c r="AF431" s="148"/>
      <c r="AG431" s="148"/>
      <c r="AH431" s="183"/>
    </row>
    <row r="432" spans="2:34" ht="35.1" customHeight="1" thickTop="1" thickBot="1" x14ac:dyDescent="0.25">
      <c r="B432" s="142"/>
      <c r="C432" s="142"/>
      <c r="D432" s="142"/>
      <c r="E432" s="142"/>
      <c r="F432" s="142"/>
      <c r="G432" s="142"/>
      <c r="H432" s="142"/>
      <c r="I432" s="159"/>
      <c r="J432" s="18" t="s">
        <v>28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e">
        <f t="shared" si="69"/>
        <v>#DIV/0!</v>
      </c>
      <c r="AA432" s="148"/>
      <c r="AB432" s="148"/>
      <c r="AC432" s="152"/>
      <c r="AD432" s="152"/>
      <c r="AE432" s="164"/>
      <c r="AF432" s="148"/>
      <c r="AG432" s="148"/>
      <c r="AH432" s="183"/>
    </row>
    <row r="433" spans="2:34" ht="35.1" customHeight="1" thickTop="1" thickBot="1" x14ac:dyDescent="0.25">
      <c r="B433" s="142"/>
      <c r="C433" s="142"/>
      <c r="D433" s="142"/>
      <c r="E433" s="142"/>
      <c r="F433" s="142"/>
      <c r="G433" s="142"/>
      <c r="H433" s="142"/>
      <c r="I433" s="159"/>
      <c r="J433" s="18" t="s">
        <v>27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e">
        <f t="shared" si="69"/>
        <v>#DIV/0!</v>
      </c>
      <c r="AA433" s="148"/>
      <c r="AB433" s="148"/>
      <c r="AC433" s="152"/>
      <c r="AD433" s="152"/>
      <c r="AE433" s="164"/>
      <c r="AF433" s="148"/>
      <c r="AG433" s="148"/>
      <c r="AH433" s="183"/>
    </row>
    <row r="434" spans="2:34" ht="35.1" customHeight="1" thickTop="1" thickBot="1" x14ac:dyDescent="0.25">
      <c r="B434" s="142"/>
      <c r="C434" s="142"/>
      <c r="D434" s="142"/>
      <c r="E434" s="142"/>
      <c r="F434" s="142"/>
      <c r="G434" s="142"/>
      <c r="H434" s="142"/>
      <c r="I434" s="159"/>
      <c r="J434" s="18" t="s">
        <v>26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e">
        <f t="shared" si="69"/>
        <v>#DIV/0!</v>
      </c>
      <c r="AA434" s="148"/>
      <c r="AB434" s="148"/>
      <c r="AC434" s="152"/>
      <c r="AD434" s="152"/>
      <c r="AE434" s="164"/>
      <c r="AF434" s="148"/>
      <c r="AG434" s="148"/>
      <c r="AH434" s="183"/>
    </row>
    <row r="435" spans="2:34" ht="35.1" customHeight="1" thickTop="1" thickBot="1" x14ac:dyDescent="0.25">
      <c r="B435" s="143"/>
      <c r="C435" s="143"/>
      <c r="D435" s="143"/>
      <c r="E435" s="143"/>
      <c r="F435" s="143"/>
      <c r="G435" s="143"/>
      <c r="H435" s="143"/>
      <c r="I435" s="160"/>
      <c r="J435" s="12" t="s">
        <v>25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e">
        <f t="shared" si="69"/>
        <v>#DIV/0!</v>
      </c>
      <c r="AA435" s="149"/>
      <c r="AB435" s="149"/>
      <c r="AC435" s="153"/>
      <c r="AD435" s="153"/>
      <c r="AE435" s="165"/>
      <c r="AF435" s="149"/>
      <c r="AG435" s="149"/>
      <c r="AH435" s="184"/>
    </row>
    <row r="436" spans="2:34" ht="35.1" customHeight="1" thickTop="1" thickBot="1" x14ac:dyDescent="0.25">
      <c r="B436" s="141"/>
      <c r="C436" s="141"/>
      <c r="D436" s="141"/>
      <c r="E436" s="141"/>
      <c r="F436" s="141"/>
      <c r="G436" s="141"/>
      <c r="H436" s="141"/>
      <c r="I436" s="158"/>
      <c r="J436" s="18" t="s">
        <v>30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e">
        <f t="shared" si="69"/>
        <v>#DIV/0!</v>
      </c>
      <c r="AA436" s="147" t="e">
        <f>AVERAGE(Z436,Z437,Z438,Z441)</f>
        <v>#DIV/0!</v>
      </c>
      <c r="AB436" s="150"/>
      <c r="AC436" s="151"/>
      <c r="AD436" s="151"/>
      <c r="AE436" s="163"/>
      <c r="AF436" s="150"/>
      <c r="AG436" s="150"/>
      <c r="AH436" s="182" t="e">
        <f t="shared" ref="AH436" si="78">(AC436)/AB436</f>
        <v>#DIV/0!</v>
      </c>
    </row>
    <row r="437" spans="2:34" ht="35.1" customHeight="1" thickTop="1" thickBot="1" x14ac:dyDescent="0.25">
      <c r="B437" s="142"/>
      <c r="C437" s="142"/>
      <c r="D437" s="142"/>
      <c r="E437" s="142"/>
      <c r="F437" s="142"/>
      <c r="G437" s="142"/>
      <c r="H437" s="142"/>
      <c r="I437" s="159"/>
      <c r="J437" s="18" t="s">
        <v>29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e">
        <f t="shared" si="69"/>
        <v>#DIV/0!</v>
      </c>
      <c r="AA437" s="148"/>
      <c r="AB437" s="148"/>
      <c r="AC437" s="152"/>
      <c r="AD437" s="152"/>
      <c r="AE437" s="164"/>
      <c r="AF437" s="148"/>
      <c r="AG437" s="148"/>
      <c r="AH437" s="183"/>
    </row>
    <row r="438" spans="2:34" ht="35.1" customHeight="1" thickTop="1" thickBot="1" x14ac:dyDescent="0.25">
      <c r="B438" s="142"/>
      <c r="C438" s="142"/>
      <c r="D438" s="142"/>
      <c r="E438" s="142"/>
      <c r="F438" s="142"/>
      <c r="G438" s="142"/>
      <c r="H438" s="142"/>
      <c r="I438" s="159"/>
      <c r="J438" s="18" t="s">
        <v>28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e">
        <f t="shared" si="69"/>
        <v>#DIV/0!</v>
      </c>
      <c r="AA438" s="148"/>
      <c r="AB438" s="148"/>
      <c r="AC438" s="152"/>
      <c r="AD438" s="152"/>
      <c r="AE438" s="164"/>
      <c r="AF438" s="148"/>
      <c r="AG438" s="148"/>
      <c r="AH438" s="183"/>
    </row>
    <row r="439" spans="2:34" ht="35.1" customHeight="1" thickTop="1" thickBot="1" x14ac:dyDescent="0.25">
      <c r="B439" s="142"/>
      <c r="C439" s="142"/>
      <c r="D439" s="142"/>
      <c r="E439" s="142"/>
      <c r="F439" s="142"/>
      <c r="G439" s="142"/>
      <c r="H439" s="142"/>
      <c r="I439" s="159"/>
      <c r="J439" s="18" t="s">
        <v>27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e">
        <f t="shared" si="69"/>
        <v>#DIV/0!</v>
      </c>
      <c r="AA439" s="148"/>
      <c r="AB439" s="148"/>
      <c r="AC439" s="152"/>
      <c r="AD439" s="152"/>
      <c r="AE439" s="164"/>
      <c r="AF439" s="148"/>
      <c r="AG439" s="148"/>
      <c r="AH439" s="183"/>
    </row>
    <row r="440" spans="2:34" ht="35.1" customHeight="1" thickTop="1" thickBot="1" x14ac:dyDescent="0.25">
      <c r="B440" s="142"/>
      <c r="C440" s="142"/>
      <c r="D440" s="142"/>
      <c r="E440" s="142"/>
      <c r="F440" s="142"/>
      <c r="G440" s="142"/>
      <c r="H440" s="142"/>
      <c r="I440" s="159"/>
      <c r="J440" s="18" t="s">
        <v>26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e">
        <f t="shared" si="69"/>
        <v>#DIV/0!</v>
      </c>
      <c r="AA440" s="148"/>
      <c r="AB440" s="148"/>
      <c r="AC440" s="152"/>
      <c r="AD440" s="152"/>
      <c r="AE440" s="164"/>
      <c r="AF440" s="148"/>
      <c r="AG440" s="148"/>
      <c r="AH440" s="183"/>
    </row>
    <row r="441" spans="2:34" ht="35.1" customHeight="1" thickTop="1" thickBot="1" x14ac:dyDescent="0.25">
      <c r="B441" s="143"/>
      <c r="C441" s="143"/>
      <c r="D441" s="143"/>
      <c r="E441" s="143"/>
      <c r="F441" s="143"/>
      <c r="G441" s="143"/>
      <c r="H441" s="143"/>
      <c r="I441" s="160"/>
      <c r="J441" s="12" t="s">
        <v>25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e">
        <f t="shared" si="69"/>
        <v>#DIV/0!</v>
      </c>
      <c r="AA441" s="149"/>
      <c r="AB441" s="149"/>
      <c r="AC441" s="153"/>
      <c r="AD441" s="153"/>
      <c r="AE441" s="165"/>
      <c r="AF441" s="149"/>
      <c r="AG441" s="149"/>
      <c r="AH441" s="184"/>
    </row>
    <row r="442" spans="2:34" ht="35.1" customHeight="1" thickTop="1" thickBot="1" x14ac:dyDescent="0.25">
      <c r="B442" s="141"/>
      <c r="C442" s="141"/>
      <c r="D442" s="141"/>
      <c r="E442" s="141"/>
      <c r="F442" s="141"/>
      <c r="G442" s="141"/>
      <c r="H442" s="141"/>
      <c r="I442" s="158"/>
      <c r="J442" s="18" t="s">
        <v>30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e">
        <f t="shared" si="69"/>
        <v>#DIV/0!</v>
      </c>
      <c r="AA442" s="147" t="e">
        <f>AVERAGE(Z442,Z443,Z444,Z447)</f>
        <v>#DIV/0!</v>
      </c>
      <c r="AB442" s="150"/>
      <c r="AC442" s="151"/>
      <c r="AD442" s="151"/>
      <c r="AE442" s="163"/>
      <c r="AF442" s="150"/>
      <c r="AG442" s="150"/>
      <c r="AH442" s="182" t="e">
        <f t="shared" ref="AH442" si="79">(AC442)/AB442</f>
        <v>#DIV/0!</v>
      </c>
    </row>
    <row r="443" spans="2:34" ht="35.1" customHeight="1" thickTop="1" thickBot="1" x14ac:dyDescent="0.25">
      <c r="B443" s="142"/>
      <c r="C443" s="142"/>
      <c r="D443" s="142"/>
      <c r="E443" s="142"/>
      <c r="F443" s="142"/>
      <c r="G443" s="142"/>
      <c r="H443" s="142"/>
      <c r="I443" s="159"/>
      <c r="J443" s="18" t="s">
        <v>29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e">
        <f t="shared" si="69"/>
        <v>#DIV/0!</v>
      </c>
      <c r="AA443" s="148"/>
      <c r="AB443" s="148"/>
      <c r="AC443" s="152"/>
      <c r="AD443" s="152"/>
      <c r="AE443" s="164"/>
      <c r="AF443" s="148"/>
      <c r="AG443" s="148"/>
      <c r="AH443" s="183"/>
    </row>
    <row r="444" spans="2:34" ht="35.1" customHeight="1" thickTop="1" thickBot="1" x14ac:dyDescent="0.25">
      <c r="B444" s="142"/>
      <c r="C444" s="142"/>
      <c r="D444" s="142"/>
      <c r="E444" s="142"/>
      <c r="F444" s="142"/>
      <c r="G444" s="142"/>
      <c r="H444" s="142"/>
      <c r="I444" s="159"/>
      <c r="J444" s="18" t="s">
        <v>28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e">
        <f t="shared" si="69"/>
        <v>#DIV/0!</v>
      </c>
      <c r="AA444" s="148"/>
      <c r="AB444" s="148"/>
      <c r="AC444" s="152"/>
      <c r="AD444" s="152"/>
      <c r="AE444" s="164"/>
      <c r="AF444" s="148"/>
      <c r="AG444" s="148"/>
      <c r="AH444" s="183"/>
    </row>
    <row r="445" spans="2:34" ht="35.1" customHeight="1" thickTop="1" thickBot="1" x14ac:dyDescent="0.25">
      <c r="B445" s="142"/>
      <c r="C445" s="142"/>
      <c r="D445" s="142"/>
      <c r="E445" s="142"/>
      <c r="F445" s="142"/>
      <c r="G445" s="142"/>
      <c r="H445" s="142"/>
      <c r="I445" s="159"/>
      <c r="J445" s="18" t="s">
        <v>27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e">
        <f t="shared" si="69"/>
        <v>#DIV/0!</v>
      </c>
      <c r="AA445" s="148"/>
      <c r="AB445" s="148"/>
      <c r="AC445" s="152"/>
      <c r="AD445" s="152"/>
      <c r="AE445" s="164"/>
      <c r="AF445" s="148"/>
      <c r="AG445" s="148"/>
      <c r="AH445" s="183"/>
    </row>
    <row r="446" spans="2:34" ht="35.1" customHeight="1" thickTop="1" thickBot="1" x14ac:dyDescent="0.25">
      <c r="B446" s="142"/>
      <c r="C446" s="142"/>
      <c r="D446" s="142"/>
      <c r="E446" s="142"/>
      <c r="F446" s="142"/>
      <c r="G446" s="142"/>
      <c r="H446" s="142"/>
      <c r="I446" s="159"/>
      <c r="J446" s="18" t="s">
        <v>26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e">
        <f t="shared" si="69"/>
        <v>#DIV/0!</v>
      </c>
      <c r="AA446" s="148"/>
      <c r="AB446" s="148"/>
      <c r="AC446" s="152"/>
      <c r="AD446" s="152"/>
      <c r="AE446" s="164"/>
      <c r="AF446" s="148"/>
      <c r="AG446" s="148"/>
      <c r="AH446" s="183"/>
    </row>
    <row r="447" spans="2:34" ht="35.1" customHeight="1" thickTop="1" thickBot="1" x14ac:dyDescent="0.25">
      <c r="B447" s="143"/>
      <c r="C447" s="143"/>
      <c r="D447" s="143"/>
      <c r="E447" s="143"/>
      <c r="F447" s="143"/>
      <c r="G447" s="143"/>
      <c r="H447" s="143"/>
      <c r="I447" s="160"/>
      <c r="J447" s="12" t="s">
        <v>25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e">
        <f t="shared" si="69"/>
        <v>#DIV/0!</v>
      </c>
      <c r="AA447" s="149"/>
      <c r="AB447" s="149"/>
      <c r="AC447" s="153"/>
      <c r="AD447" s="153"/>
      <c r="AE447" s="165"/>
      <c r="AF447" s="149"/>
      <c r="AG447" s="149"/>
      <c r="AH447" s="184"/>
    </row>
    <row r="448" spans="2:34" ht="35.1" customHeight="1" thickTop="1" thickBot="1" x14ac:dyDescent="0.25">
      <c r="B448" s="141"/>
      <c r="C448" s="141"/>
      <c r="D448" s="141"/>
      <c r="E448" s="141"/>
      <c r="F448" s="141"/>
      <c r="G448" s="141"/>
      <c r="H448" s="141"/>
      <c r="I448" s="158"/>
      <c r="J448" s="18" t="s">
        <v>30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e">
        <f t="shared" si="69"/>
        <v>#DIV/0!</v>
      </c>
      <c r="AA448" s="147" t="e">
        <f>AVERAGE(Z448,Z449,Z450,Z453)</f>
        <v>#DIV/0!</v>
      </c>
      <c r="AB448" s="150"/>
      <c r="AC448" s="151"/>
      <c r="AD448" s="151"/>
      <c r="AE448" s="163"/>
      <c r="AF448" s="150"/>
      <c r="AG448" s="150"/>
      <c r="AH448" s="182" t="e">
        <f t="shared" ref="AH448" si="80">(AC448)/AB448</f>
        <v>#DIV/0!</v>
      </c>
    </row>
    <row r="449" spans="2:34" ht="35.1" customHeight="1" thickTop="1" thickBot="1" x14ac:dyDescent="0.25">
      <c r="B449" s="142"/>
      <c r="C449" s="142"/>
      <c r="D449" s="142"/>
      <c r="E449" s="142"/>
      <c r="F449" s="142"/>
      <c r="G449" s="142"/>
      <c r="H449" s="142"/>
      <c r="I449" s="159"/>
      <c r="J449" s="18" t="s">
        <v>29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e">
        <f t="shared" si="69"/>
        <v>#DIV/0!</v>
      </c>
      <c r="AA449" s="148"/>
      <c r="AB449" s="148"/>
      <c r="AC449" s="152"/>
      <c r="AD449" s="152"/>
      <c r="AE449" s="164"/>
      <c r="AF449" s="148"/>
      <c r="AG449" s="148"/>
      <c r="AH449" s="183"/>
    </row>
    <row r="450" spans="2:34" ht="35.1" customHeight="1" thickTop="1" thickBot="1" x14ac:dyDescent="0.25">
      <c r="B450" s="142"/>
      <c r="C450" s="142"/>
      <c r="D450" s="142"/>
      <c r="E450" s="142"/>
      <c r="F450" s="142"/>
      <c r="G450" s="142"/>
      <c r="H450" s="142"/>
      <c r="I450" s="159"/>
      <c r="J450" s="18" t="s">
        <v>28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e">
        <f t="shared" si="69"/>
        <v>#DIV/0!</v>
      </c>
      <c r="AA450" s="148"/>
      <c r="AB450" s="148"/>
      <c r="AC450" s="152"/>
      <c r="AD450" s="152"/>
      <c r="AE450" s="164"/>
      <c r="AF450" s="148"/>
      <c r="AG450" s="148"/>
      <c r="AH450" s="183"/>
    </row>
    <row r="451" spans="2:34" ht="35.1" customHeight="1" thickTop="1" thickBot="1" x14ac:dyDescent="0.25">
      <c r="B451" s="142"/>
      <c r="C451" s="142"/>
      <c r="D451" s="142"/>
      <c r="E451" s="142"/>
      <c r="F451" s="142"/>
      <c r="G451" s="142"/>
      <c r="H451" s="142"/>
      <c r="I451" s="159"/>
      <c r="J451" s="18" t="s">
        <v>27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e">
        <f t="shared" si="69"/>
        <v>#DIV/0!</v>
      </c>
      <c r="AA451" s="148"/>
      <c r="AB451" s="148"/>
      <c r="AC451" s="152"/>
      <c r="AD451" s="152"/>
      <c r="AE451" s="164"/>
      <c r="AF451" s="148"/>
      <c r="AG451" s="148"/>
      <c r="AH451" s="183"/>
    </row>
    <row r="452" spans="2:34" ht="35.1" customHeight="1" thickTop="1" thickBot="1" x14ac:dyDescent="0.25">
      <c r="B452" s="142"/>
      <c r="C452" s="142"/>
      <c r="D452" s="142"/>
      <c r="E452" s="142"/>
      <c r="F452" s="142"/>
      <c r="G452" s="142"/>
      <c r="H452" s="142"/>
      <c r="I452" s="159"/>
      <c r="J452" s="18" t="s">
        <v>26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e">
        <f t="shared" ref="Z452:Z515" si="81">(L452)/K452</f>
        <v>#DIV/0!</v>
      </c>
      <c r="AA452" s="148"/>
      <c r="AB452" s="148"/>
      <c r="AC452" s="152"/>
      <c r="AD452" s="152"/>
      <c r="AE452" s="164"/>
      <c r="AF452" s="148"/>
      <c r="AG452" s="148"/>
      <c r="AH452" s="183"/>
    </row>
    <row r="453" spans="2:34" ht="35.1" customHeight="1" thickTop="1" thickBot="1" x14ac:dyDescent="0.25">
      <c r="B453" s="143"/>
      <c r="C453" s="143"/>
      <c r="D453" s="143"/>
      <c r="E453" s="143"/>
      <c r="F453" s="143"/>
      <c r="G453" s="143"/>
      <c r="H453" s="143"/>
      <c r="I453" s="160"/>
      <c r="J453" s="12" t="s">
        <v>25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e">
        <f t="shared" si="81"/>
        <v>#DIV/0!</v>
      </c>
      <c r="AA453" s="149"/>
      <c r="AB453" s="149"/>
      <c r="AC453" s="153"/>
      <c r="AD453" s="153"/>
      <c r="AE453" s="165"/>
      <c r="AF453" s="149"/>
      <c r="AG453" s="149"/>
      <c r="AH453" s="184"/>
    </row>
    <row r="454" spans="2:34" ht="35.1" customHeight="1" thickTop="1" thickBot="1" x14ac:dyDescent="0.25">
      <c r="B454" s="141"/>
      <c r="C454" s="141"/>
      <c r="D454" s="141"/>
      <c r="E454" s="141"/>
      <c r="F454" s="141"/>
      <c r="G454" s="141"/>
      <c r="H454" s="141"/>
      <c r="I454" s="158"/>
      <c r="J454" s="18" t="s">
        <v>30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e">
        <f t="shared" si="81"/>
        <v>#DIV/0!</v>
      </c>
      <c r="AA454" s="147" t="e">
        <f>AVERAGE(Z454,Z455,Z456,Z459)</f>
        <v>#DIV/0!</v>
      </c>
      <c r="AB454" s="150"/>
      <c r="AC454" s="151"/>
      <c r="AD454" s="151"/>
      <c r="AE454" s="163"/>
      <c r="AF454" s="150"/>
      <c r="AG454" s="150"/>
      <c r="AH454" s="182" t="e">
        <f t="shared" ref="AH454" si="82">(AC454)/AB454</f>
        <v>#DIV/0!</v>
      </c>
    </row>
    <row r="455" spans="2:34" ht="35.1" customHeight="1" thickTop="1" thickBot="1" x14ac:dyDescent="0.25">
      <c r="B455" s="142"/>
      <c r="C455" s="142"/>
      <c r="D455" s="142"/>
      <c r="E455" s="142"/>
      <c r="F455" s="142"/>
      <c r="G455" s="142"/>
      <c r="H455" s="142"/>
      <c r="I455" s="159"/>
      <c r="J455" s="18" t="s">
        <v>29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e">
        <f t="shared" si="81"/>
        <v>#DIV/0!</v>
      </c>
      <c r="AA455" s="148"/>
      <c r="AB455" s="148"/>
      <c r="AC455" s="152"/>
      <c r="AD455" s="152"/>
      <c r="AE455" s="164"/>
      <c r="AF455" s="148"/>
      <c r="AG455" s="148"/>
      <c r="AH455" s="183"/>
    </row>
    <row r="456" spans="2:34" ht="35.1" customHeight="1" thickTop="1" thickBot="1" x14ac:dyDescent="0.25">
      <c r="B456" s="142"/>
      <c r="C456" s="142"/>
      <c r="D456" s="142"/>
      <c r="E456" s="142"/>
      <c r="F456" s="142"/>
      <c r="G456" s="142"/>
      <c r="H456" s="142"/>
      <c r="I456" s="159"/>
      <c r="J456" s="18" t="s">
        <v>28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e">
        <f t="shared" si="81"/>
        <v>#DIV/0!</v>
      </c>
      <c r="AA456" s="148"/>
      <c r="AB456" s="148"/>
      <c r="AC456" s="152"/>
      <c r="AD456" s="152"/>
      <c r="AE456" s="164"/>
      <c r="AF456" s="148"/>
      <c r="AG456" s="148"/>
      <c r="AH456" s="183"/>
    </row>
    <row r="457" spans="2:34" ht="35.1" customHeight="1" thickTop="1" thickBot="1" x14ac:dyDescent="0.25">
      <c r="B457" s="142"/>
      <c r="C457" s="142"/>
      <c r="D457" s="142"/>
      <c r="E457" s="142"/>
      <c r="F457" s="142"/>
      <c r="G457" s="142"/>
      <c r="H457" s="142"/>
      <c r="I457" s="159"/>
      <c r="J457" s="18" t="s">
        <v>27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e">
        <f t="shared" si="81"/>
        <v>#DIV/0!</v>
      </c>
      <c r="AA457" s="148"/>
      <c r="AB457" s="148"/>
      <c r="AC457" s="152"/>
      <c r="AD457" s="152"/>
      <c r="AE457" s="164"/>
      <c r="AF457" s="148"/>
      <c r="AG457" s="148"/>
      <c r="AH457" s="183"/>
    </row>
    <row r="458" spans="2:34" ht="35.1" customHeight="1" thickTop="1" thickBot="1" x14ac:dyDescent="0.25">
      <c r="B458" s="142"/>
      <c r="C458" s="142"/>
      <c r="D458" s="142"/>
      <c r="E458" s="142"/>
      <c r="F458" s="142"/>
      <c r="G458" s="142"/>
      <c r="H458" s="142"/>
      <c r="I458" s="159"/>
      <c r="J458" s="18" t="s">
        <v>26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e">
        <f t="shared" si="81"/>
        <v>#DIV/0!</v>
      </c>
      <c r="AA458" s="148"/>
      <c r="AB458" s="148"/>
      <c r="AC458" s="152"/>
      <c r="AD458" s="152"/>
      <c r="AE458" s="164"/>
      <c r="AF458" s="148"/>
      <c r="AG458" s="148"/>
      <c r="AH458" s="183"/>
    </row>
    <row r="459" spans="2:34" ht="35.1" customHeight="1" thickTop="1" thickBot="1" x14ac:dyDescent="0.25">
      <c r="B459" s="143"/>
      <c r="C459" s="143"/>
      <c r="D459" s="143"/>
      <c r="E459" s="143"/>
      <c r="F459" s="143"/>
      <c r="G459" s="143"/>
      <c r="H459" s="143"/>
      <c r="I459" s="160"/>
      <c r="J459" s="12" t="s">
        <v>25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e">
        <f t="shared" si="81"/>
        <v>#DIV/0!</v>
      </c>
      <c r="AA459" s="149"/>
      <c r="AB459" s="149"/>
      <c r="AC459" s="153"/>
      <c r="AD459" s="153"/>
      <c r="AE459" s="165"/>
      <c r="AF459" s="149"/>
      <c r="AG459" s="149"/>
      <c r="AH459" s="184"/>
    </row>
    <row r="460" spans="2:34" ht="35.1" customHeight="1" thickTop="1" thickBot="1" x14ac:dyDescent="0.25">
      <c r="B460" s="141"/>
      <c r="C460" s="141"/>
      <c r="D460" s="141"/>
      <c r="E460" s="141"/>
      <c r="F460" s="141"/>
      <c r="G460" s="141"/>
      <c r="H460" s="141"/>
      <c r="I460" s="158"/>
      <c r="J460" s="18" t="s">
        <v>30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e">
        <f t="shared" si="81"/>
        <v>#DIV/0!</v>
      </c>
      <c r="AA460" s="147" t="e">
        <f>AVERAGE(Z460,Z461,Z462,Z465)</f>
        <v>#DIV/0!</v>
      </c>
      <c r="AB460" s="150"/>
      <c r="AC460" s="151"/>
      <c r="AD460" s="151"/>
      <c r="AE460" s="163"/>
      <c r="AF460" s="150"/>
      <c r="AG460" s="150"/>
      <c r="AH460" s="182" t="e">
        <f t="shared" ref="AH460" si="83">(AC460)/AB460</f>
        <v>#DIV/0!</v>
      </c>
    </row>
    <row r="461" spans="2:34" ht="35.1" customHeight="1" thickTop="1" thickBot="1" x14ac:dyDescent="0.25">
      <c r="B461" s="142"/>
      <c r="C461" s="142"/>
      <c r="D461" s="142"/>
      <c r="E461" s="142"/>
      <c r="F461" s="142"/>
      <c r="G461" s="142"/>
      <c r="H461" s="142"/>
      <c r="I461" s="159"/>
      <c r="J461" s="18" t="s">
        <v>29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e">
        <f t="shared" si="81"/>
        <v>#DIV/0!</v>
      </c>
      <c r="AA461" s="148"/>
      <c r="AB461" s="148"/>
      <c r="AC461" s="152"/>
      <c r="AD461" s="152"/>
      <c r="AE461" s="164"/>
      <c r="AF461" s="148"/>
      <c r="AG461" s="148"/>
      <c r="AH461" s="183"/>
    </row>
    <row r="462" spans="2:34" ht="35.1" customHeight="1" thickTop="1" thickBot="1" x14ac:dyDescent="0.25">
      <c r="B462" s="142"/>
      <c r="C462" s="142"/>
      <c r="D462" s="142"/>
      <c r="E462" s="142"/>
      <c r="F462" s="142"/>
      <c r="G462" s="142"/>
      <c r="H462" s="142"/>
      <c r="I462" s="159"/>
      <c r="J462" s="18" t="s">
        <v>28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e">
        <f t="shared" si="81"/>
        <v>#DIV/0!</v>
      </c>
      <c r="AA462" s="148"/>
      <c r="AB462" s="148"/>
      <c r="AC462" s="152"/>
      <c r="AD462" s="152"/>
      <c r="AE462" s="164"/>
      <c r="AF462" s="148"/>
      <c r="AG462" s="148"/>
      <c r="AH462" s="183"/>
    </row>
    <row r="463" spans="2:34" ht="35.1" customHeight="1" thickTop="1" thickBot="1" x14ac:dyDescent="0.25">
      <c r="B463" s="142"/>
      <c r="C463" s="142"/>
      <c r="D463" s="142"/>
      <c r="E463" s="142"/>
      <c r="F463" s="142"/>
      <c r="G463" s="142"/>
      <c r="H463" s="142"/>
      <c r="I463" s="159"/>
      <c r="J463" s="18" t="s">
        <v>27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e">
        <f t="shared" si="81"/>
        <v>#DIV/0!</v>
      </c>
      <c r="AA463" s="148"/>
      <c r="AB463" s="148"/>
      <c r="AC463" s="152"/>
      <c r="AD463" s="152"/>
      <c r="AE463" s="164"/>
      <c r="AF463" s="148"/>
      <c r="AG463" s="148"/>
      <c r="AH463" s="183"/>
    </row>
    <row r="464" spans="2:34" ht="35.1" customHeight="1" thickTop="1" thickBot="1" x14ac:dyDescent="0.25">
      <c r="B464" s="142"/>
      <c r="C464" s="142"/>
      <c r="D464" s="142"/>
      <c r="E464" s="142"/>
      <c r="F464" s="142"/>
      <c r="G464" s="142"/>
      <c r="H464" s="142"/>
      <c r="I464" s="159"/>
      <c r="J464" s="18" t="s">
        <v>26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e">
        <f t="shared" si="81"/>
        <v>#DIV/0!</v>
      </c>
      <c r="AA464" s="148"/>
      <c r="AB464" s="148"/>
      <c r="AC464" s="152"/>
      <c r="AD464" s="152"/>
      <c r="AE464" s="164"/>
      <c r="AF464" s="148"/>
      <c r="AG464" s="148"/>
      <c r="AH464" s="183"/>
    </row>
    <row r="465" spans="2:34" ht="35.1" customHeight="1" thickTop="1" thickBot="1" x14ac:dyDescent="0.25">
      <c r="B465" s="143"/>
      <c r="C465" s="143"/>
      <c r="D465" s="143"/>
      <c r="E465" s="143"/>
      <c r="F465" s="143"/>
      <c r="G465" s="143"/>
      <c r="H465" s="143"/>
      <c r="I465" s="160"/>
      <c r="J465" s="12" t="s">
        <v>25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e">
        <f t="shared" si="81"/>
        <v>#DIV/0!</v>
      </c>
      <c r="AA465" s="149"/>
      <c r="AB465" s="149"/>
      <c r="AC465" s="153"/>
      <c r="AD465" s="153"/>
      <c r="AE465" s="165"/>
      <c r="AF465" s="149"/>
      <c r="AG465" s="149"/>
      <c r="AH465" s="184"/>
    </row>
    <row r="466" spans="2:34" ht="35.1" customHeight="1" thickTop="1" thickBot="1" x14ac:dyDescent="0.25">
      <c r="B466" s="141"/>
      <c r="C466" s="141"/>
      <c r="D466" s="141"/>
      <c r="E466" s="141"/>
      <c r="F466" s="141"/>
      <c r="G466" s="141"/>
      <c r="H466" s="141"/>
      <c r="I466" s="158"/>
      <c r="J466" s="18" t="s">
        <v>30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e">
        <f t="shared" si="81"/>
        <v>#DIV/0!</v>
      </c>
      <c r="AA466" s="147" t="e">
        <f>AVERAGE(Z466,Z467,Z468,Z471)</f>
        <v>#DIV/0!</v>
      </c>
      <c r="AB466" s="150"/>
      <c r="AC466" s="151"/>
      <c r="AD466" s="151"/>
      <c r="AE466" s="163"/>
      <c r="AF466" s="150"/>
      <c r="AG466" s="150"/>
      <c r="AH466" s="182" t="e">
        <f t="shared" ref="AH466" si="84">(AC466)/AB466</f>
        <v>#DIV/0!</v>
      </c>
    </row>
    <row r="467" spans="2:34" ht="35.1" customHeight="1" thickTop="1" thickBot="1" x14ac:dyDescent="0.25">
      <c r="B467" s="142"/>
      <c r="C467" s="142"/>
      <c r="D467" s="142"/>
      <c r="E467" s="142"/>
      <c r="F467" s="142"/>
      <c r="G467" s="142"/>
      <c r="H467" s="142"/>
      <c r="I467" s="159"/>
      <c r="J467" s="18" t="s">
        <v>29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e">
        <f t="shared" si="81"/>
        <v>#DIV/0!</v>
      </c>
      <c r="AA467" s="148"/>
      <c r="AB467" s="148"/>
      <c r="AC467" s="152"/>
      <c r="AD467" s="152"/>
      <c r="AE467" s="164"/>
      <c r="AF467" s="148"/>
      <c r="AG467" s="148"/>
      <c r="AH467" s="183"/>
    </row>
    <row r="468" spans="2:34" ht="35.1" customHeight="1" thickTop="1" thickBot="1" x14ac:dyDescent="0.25">
      <c r="B468" s="142"/>
      <c r="C468" s="142"/>
      <c r="D468" s="142"/>
      <c r="E468" s="142"/>
      <c r="F468" s="142"/>
      <c r="G468" s="142"/>
      <c r="H468" s="142"/>
      <c r="I468" s="159"/>
      <c r="J468" s="18" t="s">
        <v>28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e">
        <f t="shared" si="81"/>
        <v>#DIV/0!</v>
      </c>
      <c r="AA468" s="148"/>
      <c r="AB468" s="148"/>
      <c r="AC468" s="152"/>
      <c r="AD468" s="152"/>
      <c r="AE468" s="164"/>
      <c r="AF468" s="148"/>
      <c r="AG468" s="148"/>
      <c r="AH468" s="183"/>
    </row>
    <row r="469" spans="2:34" ht="35.1" customHeight="1" thickTop="1" thickBot="1" x14ac:dyDescent="0.25">
      <c r="B469" s="142"/>
      <c r="C469" s="142"/>
      <c r="D469" s="142"/>
      <c r="E469" s="142"/>
      <c r="F469" s="142"/>
      <c r="G469" s="142"/>
      <c r="H469" s="142"/>
      <c r="I469" s="159"/>
      <c r="J469" s="18" t="s">
        <v>27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e">
        <f t="shared" si="81"/>
        <v>#DIV/0!</v>
      </c>
      <c r="AA469" s="148"/>
      <c r="AB469" s="148"/>
      <c r="AC469" s="152"/>
      <c r="AD469" s="152"/>
      <c r="AE469" s="164"/>
      <c r="AF469" s="148"/>
      <c r="AG469" s="148"/>
      <c r="AH469" s="183"/>
    </row>
    <row r="470" spans="2:34" ht="35.1" customHeight="1" thickTop="1" thickBot="1" x14ac:dyDescent="0.25">
      <c r="B470" s="142"/>
      <c r="C470" s="142"/>
      <c r="D470" s="142"/>
      <c r="E470" s="142"/>
      <c r="F470" s="142"/>
      <c r="G470" s="142"/>
      <c r="H470" s="142"/>
      <c r="I470" s="159"/>
      <c r="J470" s="18" t="s">
        <v>26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e">
        <f t="shared" si="81"/>
        <v>#DIV/0!</v>
      </c>
      <c r="AA470" s="148"/>
      <c r="AB470" s="148"/>
      <c r="AC470" s="152"/>
      <c r="AD470" s="152"/>
      <c r="AE470" s="164"/>
      <c r="AF470" s="148"/>
      <c r="AG470" s="148"/>
      <c r="AH470" s="183"/>
    </row>
    <row r="471" spans="2:34" ht="35.1" customHeight="1" thickTop="1" thickBot="1" x14ac:dyDescent="0.25">
      <c r="B471" s="143"/>
      <c r="C471" s="143"/>
      <c r="D471" s="143"/>
      <c r="E471" s="143"/>
      <c r="F471" s="143"/>
      <c r="G471" s="143"/>
      <c r="H471" s="143"/>
      <c r="I471" s="160"/>
      <c r="J471" s="12" t="s">
        <v>25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e">
        <f t="shared" si="81"/>
        <v>#DIV/0!</v>
      </c>
      <c r="AA471" s="149"/>
      <c r="AB471" s="149"/>
      <c r="AC471" s="153"/>
      <c r="AD471" s="153"/>
      <c r="AE471" s="165"/>
      <c r="AF471" s="149"/>
      <c r="AG471" s="149"/>
      <c r="AH471" s="184"/>
    </row>
    <row r="472" spans="2:34" ht="35.1" customHeight="1" thickTop="1" thickBot="1" x14ac:dyDescent="0.25">
      <c r="B472" s="141"/>
      <c r="C472" s="141"/>
      <c r="D472" s="141"/>
      <c r="E472" s="141"/>
      <c r="F472" s="141"/>
      <c r="G472" s="141"/>
      <c r="H472" s="141"/>
      <c r="I472" s="158"/>
      <c r="J472" s="18" t="s">
        <v>30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e">
        <f t="shared" si="81"/>
        <v>#DIV/0!</v>
      </c>
      <c r="AA472" s="147" t="e">
        <f>AVERAGE(Z472,Z473,Z474,Z477)</f>
        <v>#DIV/0!</v>
      </c>
      <c r="AB472" s="150"/>
      <c r="AC472" s="151"/>
      <c r="AD472" s="151"/>
      <c r="AE472" s="163"/>
      <c r="AF472" s="150"/>
      <c r="AG472" s="150"/>
      <c r="AH472" s="182" t="e">
        <f t="shared" ref="AH472" si="85">(AC472)/AB472</f>
        <v>#DIV/0!</v>
      </c>
    </row>
    <row r="473" spans="2:34" ht="35.1" customHeight="1" thickTop="1" thickBot="1" x14ac:dyDescent="0.25">
      <c r="B473" s="142"/>
      <c r="C473" s="142"/>
      <c r="D473" s="142"/>
      <c r="E473" s="142"/>
      <c r="F473" s="142"/>
      <c r="G473" s="142"/>
      <c r="H473" s="142"/>
      <c r="I473" s="159"/>
      <c r="J473" s="18" t="s">
        <v>29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e">
        <f t="shared" si="81"/>
        <v>#DIV/0!</v>
      </c>
      <c r="AA473" s="148"/>
      <c r="AB473" s="148"/>
      <c r="AC473" s="152"/>
      <c r="AD473" s="152"/>
      <c r="AE473" s="164"/>
      <c r="AF473" s="148"/>
      <c r="AG473" s="148"/>
      <c r="AH473" s="183"/>
    </row>
    <row r="474" spans="2:34" ht="35.1" customHeight="1" thickTop="1" thickBot="1" x14ac:dyDescent="0.25">
      <c r="B474" s="142"/>
      <c r="C474" s="142"/>
      <c r="D474" s="142"/>
      <c r="E474" s="142"/>
      <c r="F474" s="142"/>
      <c r="G474" s="142"/>
      <c r="H474" s="142"/>
      <c r="I474" s="159"/>
      <c r="J474" s="18" t="s">
        <v>28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e">
        <f t="shared" si="81"/>
        <v>#DIV/0!</v>
      </c>
      <c r="AA474" s="148"/>
      <c r="AB474" s="148"/>
      <c r="AC474" s="152"/>
      <c r="AD474" s="152"/>
      <c r="AE474" s="164"/>
      <c r="AF474" s="148"/>
      <c r="AG474" s="148"/>
      <c r="AH474" s="183"/>
    </row>
    <row r="475" spans="2:34" ht="35.1" customHeight="1" thickTop="1" thickBot="1" x14ac:dyDescent="0.25">
      <c r="B475" s="142"/>
      <c r="C475" s="142"/>
      <c r="D475" s="142"/>
      <c r="E475" s="142"/>
      <c r="F475" s="142"/>
      <c r="G475" s="142"/>
      <c r="H475" s="142"/>
      <c r="I475" s="159"/>
      <c r="J475" s="18" t="s">
        <v>27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e">
        <f t="shared" si="81"/>
        <v>#DIV/0!</v>
      </c>
      <c r="AA475" s="148"/>
      <c r="AB475" s="148"/>
      <c r="AC475" s="152"/>
      <c r="AD475" s="152"/>
      <c r="AE475" s="164"/>
      <c r="AF475" s="148"/>
      <c r="AG475" s="148"/>
      <c r="AH475" s="183"/>
    </row>
    <row r="476" spans="2:34" ht="35.1" customHeight="1" thickTop="1" thickBot="1" x14ac:dyDescent="0.25">
      <c r="B476" s="142"/>
      <c r="C476" s="142"/>
      <c r="D476" s="142"/>
      <c r="E476" s="142"/>
      <c r="F476" s="142"/>
      <c r="G476" s="142"/>
      <c r="H476" s="142"/>
      <c r="I476" s="159"/>
      <c r="J476" s="18" t="s">
        <v>26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e">
        <f t="shared" si="81"/>
        <v>#DIV/0!</v>
      </c>
      <c r="AA476" s="148"/>
      <c r="AB476" s="148"/>
      <c r="AC476" s="152"/>
      <c r="AD476" s="152"/>
      <c r="AE476" s="164"/>
      <c r="AF476" s="148"/>
      <c r="AG476" s="148"/>
      <c r="AH476" s="183"/>
    </row>
    <row r="477" spans="2:34" ht="35.1" customHeight="1" thickTop="1" thickBot="1" x14ac:dyDescent="0.25">
      <c r="B477" s="143"/>
      <c r="C477" s="143"/>
      <c r="D477" s="143"/>
      <c r="E477" s="143"/>
      <c r="F477" s="143"/>
      <c r="G477" s="143"/>
      <c r="H477" s="143"/>
      <c r="I477" s="160"/>
      <c r="J477" s="12" t="s">
        <v>25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e">
        <f t="shared" si="81"/>
        <v>#DIV/0!</v>
      </c>
      <c r="AA477" s="149"/>
      <c r="AB477" s="149"/>
      <c r="AC477" s="153"/>
      <c r="AD477" s="153"/>
      <c r="AE477" s="165"/>
      <c r="AF477" s="149"/>
      <c r="AG477" s="149"/>
      <c r="AH477" s="184"/>
    </row>
    <row r="478" spans="2:34" ht="35.1" customHeight="1" thickTop="1" thickBot="1" x14ac:dyDescent="0.25">
      <c r="B478" s="141"/>
      <c r="C478" s="141"/>
      <c r="D478" s="141"/>
      <c r="E478" s="141"/>
      <c r="F478" s="141"/>
      <c r="G478" s="141"/>
      <c r="H478" s="141"/>
      <c r="I478" s="158"/>
      <c r="J478" s="18" t="s">
        <v>30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e">
        <f t="shared" si="81"/>
        <v>#DIV/0!</v>
      </c>
      <c r="AA478" s="147" t="e">
        <f>AVERAGE(Z478,Z479,Z480,Z483)</f>
        <v>#DIV/0!</v>
      </c>
      <c r="AB478" s="150"/>
      <c r="AC478" s="151"/>
      <c r="AD478" s="151"/>
      <c r="AE478" s="163"/>
      <c r="AF478" s="150"/>
      <c r="AG478" s="150"/>
      <c r="AH478" s="182" t="e">
        <f t="shared" ref="AH478" si="86">(AC478)/AB478</f>
        <v>#DIV/0!</v>
      </c>
    </row>
    <row r="479" spans="2:34" ht="35.1" customHeight="1" thickTop="1" thickBot="1" x14ac:dyDescent="0.25">
      <c r="B479" s="142"/>
      <c r="C479" s="142"/>
      <c r="D479" s="142"/>
      <c r="E479" s="142"/>
      <c r="F479" s="142"/>
      <c r="G479" s="142"/>
      <c r="H479" s="142"/>
      <c r="I479" s="159"/>
      <c r="J479" s="18" t="s">
        <v>29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e">
        <f t="shared" si="81"/>
        <v>#DIV/0!</v>
      </c>
      <c r="AA479" s="148"/>
      <c r="AB479" s="148"/>
      <c r="AC479" s="152"/>
      <c r="AD479" s="152"/>
      <c r="AE479" s="164"/>
      <c r="AF479" s="148"/>
      <c r="AG479" s="148"/>
      <c r="AH479" s="183"/>
    </row>
    <row r="480" spans="2:34" ht="35.1" customHeight="1" thickTop="1" thickBot="1" x14ac:dyDescent="0.25">
      <c r="B480" s="142"/>
      <c r="C480" s="142"/>
      <c r="D480" s="142"/>
      <c r="E480" s="142"/>
      <c r="F480" s="142"/>
      <c r="G480" s="142"/>
      <c r="H480" s="142"/>
      <c r="I480" s="159"/>
      <c r="J480" s="18" t="s">
        <v>28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e">
        <f t="shared" si="81"/>
        <v>#DIV/0!</v>
      </c>
      <c r="AA480" s="148"/>
      <c r="AB480" s="148"/>
      <c r="AC480" s="152"/>
      <c r="AD480" s="152"/>
      <c r="AE480" s="164"/>
      <c r="AF480" s="148"/>
      <c r="AG480" s="148"/>
      <c r="AH480" s="183"/>
    </row>
    <row r="481" spans="2:34" ht="35.1" customHeight="1" thickTop="1" thickBot="1" x14ac:dyDescent="0.25">
      <c r="B481" s="142"/>
      <c r="C481" s="142"/>
      <c r="D481" s="142"/>
      <c r="E481" s="142"/>
      <c r="F481" s="142"/>
      <c r="G481" s="142"/>
      <c r="H481" s="142"/>
      <c r="I481" s="159"/>
      <c r="J481" s="18" t="s">
        <v>27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e">
        <f t="shared" si="81"/>
        <v>#DIV/0!</v>
      </c>
      <c r="AA481" s="148"/>
      <c r="AB481" s="148"/>
      <c r="AC481" s="152"/>
      <c r="AD481" s="152"/>
      <c r="AE481" s="164"/>
      <c r="AF481" s="148"/>
      <c r="AG481" s="148"/>
      <c r="AH481" s="183"/>
    </row>
    <row r="482" spans="2:34" ht="35.1" customHeight="1" thickTop="1" thickBot="1" x14ac:dyDescent="0.25">
      <c r="B482" s="142"/>
      <c r="C482" s="142"/>
      <c r="D482" s="142"/>
      <c r="E482" s="142"/>
      <c r="F482" s="142"/>
      <c r="G482" s="142"/>
      <c r="H482" s="142"/>
      <c r="I482" s="159"/>
      <c r="J482" s="18" t="s">
        <v>26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e">
        <f t="shared" si="81"/>
        <v>#DIV/0!</v>
      </c>
      <c r="AA482" s="148"/>
      <c r="AB482" s="148"/>
      <c r="AC482" s="152"/>
      <c r="AD482" s="152"/>
      <c r="AE482" s="164"/>
      <c r="AF482" s="148"/>
      <c r="AG482" s="148"/>
      <c r="AH482" s="183"/>
    </row>
    <row r="483" spans="2:34" ht="35.1" customHeight="1" thickTop="1" thickBot="1" x14ac:dyDescent="0.25">
      <c r="B483" s="143"/>
      <c r="C483" s="143"/>
      <c r="D483" s="143"/>
      <c r="E483" s="143"/>
      <c r="F483" s="143"/>
      <c r="G483" s="143"/>
      <c r="H483" s="143"/>
      <c r="I483" s="160"/>
      <c r="J483" s="12" t="s">
        <v>25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e">
        <f t="shared" si="81"/>
        <v>#DIV/0!</v>
      </c>
      <c r="AA483" s="149"/>
      <c r="AB483" s="149"/>
      <c r="AC483" s="153"/>
      <c r="AD483" s="153"/>
      <c r="AE483" s="165"/>
      <c r="AF483" s="149"/>
      <c r="AG483" s="149"/>
      <c r="AH483" s="184"/>
    </row>
    <row r="484" spans="2:34" ht="35.1" customHeight="1" thickTop="1" thickBot="1" x14ac:dyDescent="0.25">
      <c r="B484" s="141"/>
      <c r="C484" s="141"/>
      <c r="D484" s="141"/>
      <c r="E484" s="141"/>
      <c r="F484" s="141"/>
      <c r="G484" s="141"/>
      <c r="H484" s="141"/>
      <c r="I484" s="158"/>
      <c r="J484" s="18" t="s">
        <v>30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e">
        <f t="shared" si="81"/>
        <v>#DIV/0!</v>
      </c>
      <c r="AA484" s="147" t="e">
        <f>AVERAGE(Z484,Z485,Z486,Z489)</f>
        <v>#DIV/0!</v>
      </c>
      <c r="AB484" s="150"/>
      <c r="AC484" s="151"/>
      <c r="AD484" s="151"/>
      <c r="AE484" s="163"/>
      <c r="AF484" s="150"/>
      <c r="AG484" s="150"/>
      <c r="AH484" s="182" t="e">
        <f t="shared" ref="AH484" si="87">(AC484)/AB484</f>
        <v>#DIV/0!</v>
      </c>
    </row>
    <row r="485" spans="2:34" ht="35.1" customHeight="1" thickTop="1" thickBot="1" x14ac:dyDescent="0.25">
      <c r="B485" s="142"/>
      <c r="C485" s="142"/>
      <c r="D485" s="142"/>
      <c r="E485" s="142"/>
      <c r="F485" s="142"/>
      <c r="G485" s="142"/>
      <c r="H485" s="142"/>
      <c r="I485" s="159"/>
      <c r="J485" s="18" t="s">
        <v>29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e">
        <f t="shared" si="81"/>
        <v>#DIV/0!</v>
      </c>
      <c r="AA485" s="148"/>
      <c r="AB485" s="148"/>
      <c r="AC485" s="152"/>
      <c r="AD485" s="152"/>
      <c r="AE485" s="164"/>
      <c r="AF485" s="148"/>
      <c r="AG485" s="148"/>
      <c r="AH485" s="183"/>
    </row>
    <row r="486" spans="2:34" ht="35.1" customHeight="1" thickTop="1" thickBot="1" x14ac:dyDescent="0.25">
      <c r="B486" s="142"/>
      <c r="C486" s="142"/>
      <c r="D486" s="142"/>
      <c r="E486" s="142"/>
      <c r="F486" s="142"/>
      <c r="G486" s="142"/>
      <c r="H486" s="142"/>
      <c r="I486" s="159"/>
      <c r="J486" s="18" t="s">
        <v>28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e">
        <f t="shared" si="81"/>
        <v>#DIV/0!</v>
      </c>
      <c r="AA486" s="148"/>
      <c r="AB486" s="148"/>
      <c r="AC486" s="152"/>
      <c r="AD486" s="152"/>
      <c r="AE486" s="164"/>
      <c r="AF486" s="148"/>
      <c r="AG486" s="148"/>
      <c r="AH486" s="183"/>
    </row>
    <row r="487" spans="2:34" ht="35.1" customHeight="1" thickTop="1" thickBot="1" x14ac:dyDescent="0.25">
      <c r="B487" s="142"/>
      <c r="C487" s="142"/>
      <c r="D487" s="142"/>
      <c r="E487" s="142"/>
      <c r="F487" s="142"/>
      <c r="G487" s="142"/>
      <c r="H487" s="142"/>
      <c r="I487" s="159"/>
      <c r="J487" s="18" t="s">
        <v>27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e">
        <f t="shared" si="81"/>
        <v>#DIV/0!</v>
      </c>
      <c r="AA487" s="148"/>
      <c r="AB487" s="148"/>
      <c r="AC487" s="152"/>
      <c r="AD487" s="152"/>
      <c r="AE487" s="164"/>
      <c r="AF487" s="148"/>
      <c r="AG487" s="148"/>
      <c r="AH487" s="183"/>
    </row>
    <row r="488" spans="2:34" ht="35.1" customHeight="1" thickTop="1" thickBot="1" x14ac:dyDescent="0.25">
      <c r="B488" s="142"/>
      <c r="C488" s="142"/>
      <c r="D488" s="142"/>
      <c r="E488" s="142"/>
      <c r="F488" s="142"/>
      <c r="G488" s="142"/>
      <c r="H488" s="142"/>
      <c r="I488" s="159"/>
      <c r="J488" s="18" t="s">
        <v>26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e">
        <f t="shared" si="81"/>
        <v>#DIV/0!</v>
      </c>
      <c r="AA488" s="148"/>
      <c r="AB488" s="148"/>
      <c r="AC488" s="152"/>
      <c r="AD488" s="152"/>
      <c r="AE488" s="164"/>
      <c r="AF488" s="148"/>
      <c r="AG488" s="148"/>
      <c r="AH488" s="183"/>
    </row>
    <row r="489" spans="2:34" ht="35.1" customHeight="1" thickTop="1" thickBot="1" x14ac:dyDescent="0.25">
      <c r="B489" s="143"/>
      <c r="C489" s="143"/>
      <c r="D489" s="143"/>
      <c r="E489" s="143"/>
      <c r="F489" s="143"/>
      <c r="G489" s="143"/>
      <c r="H489" s="143"/>
      <c r="I489" s="160"/>
      <c r="J489" s="12" t="s">
        <v>25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e">
        <f t="shared" si="81"/>
        <v>#DIV/0!</v>
      </c>
      <c r="AA489" s="149"/>
      <c r="AB489" s="149"/>
      <c r="AC489" s="153"/>
      <c r="AD489" s="153"/>
      <c r="AE489" s="165"/>
      <c r="AF489" s="149"/>
      <c r="AG489" s="149"/>
      <c r="AH489" s="184"/>
    </row>
    <row r="490" spans="2:34" ht="35.1" customHeight="1" thickTop="1" thickBot="1" x14ac:dyDescent="0.25">
      <c r="B490" s="141"/>
      <c r="C490" s="141"/>
      <c r="D490" s="141"/>
      <c r="E490" s="141"/>
      <c r="F490" s="141"/>
      <c r="G490" s="141"/>
      <c r="H490" s="141"/>
      <c r="I490" s="158"/>
      <c r="J490" s="18" t="s">
        <v>30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e">
        <f t="shared" si="81"/>
        <v>#DIV/0!</v>
      </c>
      <c r="AA490" s="147" t="e">
        <f>AVERAGE(Z490,Z491,Z492,Z495)</f>
        <v>#DIV/0!</v>
      </c>
      <c r="AB490" s="150"/>
      <c r="AC490" s="151"/>
      <c r="AD490" s="151"/>
      <c r="AE490" s="163"/>
      <c r="AF490" s="150"/>
      <c r="AG490" s="150"/>
      <c r="AH490" s="182" t="e">
        <f t="shared" ref="AH490" si="88">(AC490)/AB490</f>
        <v>#DIV/0!</v>
      </c>
    </row>
    <row r="491" spans="2:34" ht="35.1" customHeight="1" thickTop="1" thickBot="1" x14ac:dyDescent="0.25">
      <c r="B491" s="142"/>
      <c r="C491" s="142"/>
      <c r="D491" s="142"/>
      <c r="E491" s="142"/>
      <c r="F491" s="142"/>
      <c r="G491" s="142"/>
      <c r="H491" s="142"/>
      <c r="I491" s="159"/>
      <c r="J491" s="18" t="s">
        <v>29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e">
        <f t="shared" si="81"/>
        <v>#DIV/0!</v>
      </c>
      <c r="AA491" s="148"/>
      <c r="AB491" s="148"/>
      <c r="AC491" s="152"/>
      <c r="AD491" s="152"/>
      <c r="AE491" s="164"/>
      <c r="AF491" s="148"/>
      <c r="AG491" s="148"/>
      <c r="AH491" s="183"/>
    </row>
    <row r="492" spans="2:34" ht="35.1" customHeight="1" thickTop="1" thickBot="1" x14ac:dyDescent="0.25">
      <c r="B492" s="142"/>
      <c r="C492" s="142"/>
      <c r="D492" s="142"/>
      <c r="E492" s="142"/>
      <c r="F492" s="142"/>
      <c r="G492" s="142"/>
      <c r="H492" s="142"/>
      <c r="I492" s="159"/>
      <c r="J492" s="18" t="s">
        <v>28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e">
        <f t="shared" si="81"/>
        <v>#DIV/0!</v>
      </c>
      <c r="AA492" s="148"/>
      <c r="AB492" s="148"/>
      <c r="AC492" s="152"/>
      <c r="AD492" s="152"/>
      <c r="AE492" s="164"/>
      <c r="AF492" s="148"/>
      <c r="AG492" s="148"/>
      <c r="AH492" s="183"/>
    </row>
    <row r="493" spans="2:34" ht="35.1" customHeight="1" thickTop="1" thickBot="1" x14ac:dyDescent="0.25">
      <c r="B493" s="142"/>
      <c r="C493" s="142"/>
      <c r="D493" s="142"/>
      <c r="E493" s="142"/>
      <c r="F493" s="142"/>
      <c r="G493" s="142"/>
      <c r="H493" s="142"/>
      <c r="I493" s="159"/>
      <c r="J493" s="18" t="s">
        <v>27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e">
        <f t="shared" si="81"/>
        <v>#DIV/0!</v>
      </c>
      <c r="AA493" s="148"/>
      <c r="AB493" s="148"/>
      <c r="AC493" s="152"/>
      <c r="AD493" s="152"/>
      <c r="AE493" s="164"/>
      <c r="AF493" s="148"/>
      <c r="AG493" s="148"/>
      <c r="AH493" s="183"/>
    </row>
    <row r="494" spans="2:34" ht="35.1" customHeight="1" thickTop="1" thickBot="1" x14ac:dyDescent="0.25">
      <c r="B494" s="142"/>
      <c r="C494" s="142"/>
      <c r="D494" s="142"/>
      <c r="E494" s="142"/>
      <c r="F494" s="142"/>
      <c r="G494" s="142"/>
      <c r="H494" s="142"/>
      <c r="I494" s="159"/>
      <c r="J494" s="18" t="s">
        <v>26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e">
        <f t="shared" si="81"/>
        <v>#DIV/0!</v>
      </c>
      <c r="AA494" s="148"/>
      <c r="AB494" s="148"/>
      <c r="AC494" s="152"/>
      <c r="AD494" s="152"/>
      <c r="AE494" s="164"/>
      <c r="AF494" s="148"/>
      <c r="AG494" s="148"/>
      <c r="AH494" s="183"/>
    </row>
    <row r="495" spans="2:34" ht="35.1" customHeight="1" thickTop="1" thickBot="1" x14ac:dyDescent="0.25">
      <c r="B495" s="143"/>
      <c r="C495" s="143"/>
      <c r="D495" s="143"/>
      <c r="E495" s="143"/>
      <c r="F495" s="143"/>
      <c r="G495" s="143"/>
      <c r="H495" s="143"/>
      <c r="I495" s="160"/>
      <c r="J495" s="12" t="s">
        <v>25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e">
        <f t="shared" si="81"/>
        <v>#DIV/0!</v>
      </c>
      <c r="AA495" s="149"/>
      <c r="AB495" s="149"/>
      <c r="AC495" s="153"/>
      <c r="AD495" s="153"/>
      <c r="AE495" s="165"/>
      <c r="AF495" s="149"/>
      <c r="AG495" s="149"/>
      <c r="AH495" s="184"/>
    </row>
    <row r="496" spans="2:34" ht="35.1" customHeight="1" thickTop="1" thickBot="1" x14ac:dyDescent="0.25">
      <c r="B496" s="141"/>
      <c r="C496" s="141"/>
      <c r="D496" s="141"/>
      <c r="E496" s="141"/>
      <c r="F496" s="141"/>
      <c r="G496" s="141"/>
      <c r="H496" s="141"/>
      <c r="I496" s="158"/>
      <c r="J496" s="18" t="s">
        <v>30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e">
        <f t="shared" si="81"/>
        <v>#DIV/0!</v>
      </c>
      <c r="AA496" s="147" t="e">
        <f>AVERAGE(Z496,Z497,Z498,Z501)</f>
        <v>#DIV/0!</v>
      </c>
      <c r="AB496" s="150"/>
      <c r="AC496" s="151"/>
      <c r="AD496" s="151"/>
      <c r="AE496" s="163"/>
      <c r="AF496" s="150"/>
      <c r="AG496" s="150"/>
      <c r="AH496" s="182" t="e">
        <f t="shared" ref="AH496" si="89">(AC496)/AB496</f>
        <v>#DIV/0!</v>
      </c>
    </row>
    <row r="497" spans="2:34" ht="35.1" customHeight="1" thickTop="1" thickBot="1" x14ac:dyDescent="0.25">
      <c r="B497" s="142"/>
      <c r="C497" s="142"/>
      <c r="D497" s="142"/>
      <c r="E497" s="142"/>
      <c r="F497" s="142"/>
      <c r="G497" s="142"/>
      <c r="H497" s="142"/>
      <c r="I497" s="159"/>
      <c r="J497" s="18" t="s">
        <v>29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e">
        <f t="shared" si="81"/>
        <v>#DIV/0!</v>
      </c>
      <c r="AA497" s="148"/>
      <c r="AB497" s="148"/>
      <c r="AC497" s="152"/>
      <c r="AD497" s="152"/>
      <c r="AE497" s="164"/>
      <c r="AF497" s="148"/>
      <c r="AG497" s="148"/>
      <c r="AH497" s="183"/>
    </row>
    <row r="498" spans="2:34" ht="35.1" customHeight="1" thickTop="1" thickBot="1" x14ac:dyDescent="0.25">
      <c r="B498" s="142"/>
      <c r="C498" s="142"/>
      <c r="D498" s="142"/>
      <c r="E498" s="142"/>
      <c r="F498" s="142"/>
      <c r="G498" s="142"/>
      <c r="H498" s="142"/>
      <c r="I498" s="159"/>
      <c r="J498" s="18" t="s">
        <v>28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e">
        <f t="shared" si="81"/>
        <v>#DIV/0!</v>
      </c>
      <c r="AA498" s="148"/>
      <c r="AB498" s="148"/>
      <c r="AC498" s="152"/>
      <c r="AD498" s="152"/>
      <c r="AE498" s="164"/>
      <c r="AF498" s="148"/>
      <c r="AG498" s="148"/>
      <c r="AH498" s="183"/>
    </row>
    <row r="499" spans="2:34" ht="35.1" customHeight="1" thickTop="1" thickBot="1" x14ac:dyDescent="0.25">
      <c r="B499" s="142"/>
      <c r="C499" s="142"/>
      <c r="D499" s="142"/>
      <c r="E499" s="142"/>
      <c r="F499" s="142"/>
      <c r="G499" s="142"/>
      <c r="H499" s="142"/>
      <c r="I499" s="159"/>
      <c r="J499" s="18" t="s">
        <v>27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e">
        <f t="shared" si="81"/>
        <v>#DIV/0!</v>
      </c>
      <c r="AA499" s="148"/>
      <c r="AB499" s="148"/>
      <c r="AC499" s="152"/>
      <c r="AD499" s="152"/>
      <c r="AE499" s="164"/>
      <c r="AF499" s="148"/>
      <c r="AG499" s="148"/>
      <c r="AH499" s="183"/>
    </row>
    <row r="500" spans="2:34" ht="35.1" customHeight="1" thickTop="1" thickBot="1" x14ac:dyDescent="0.25">
      <c r="B500" s="142"/>
      <c r="C500" s="142"/>
      <c r="D500" s="142"/>
      <c r="E500" s="142"/>
      <c r="F500" s="142"/>
      <c r="G500" s="142"/>
      <c r="H500" s="142"/>
      <c r="I500" s="159"/>
      <c r="J500" s="18" t="s">
        <v>26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e">
        <f t="shared" si="81"/>
        <v>#DIV/0!</v>
      </c>
      <c r="AA500" s="148"/>
      <c r="AB500" s="148"/>
      <c r="AC500" s="152"/>
      <c r="AD500" s="152"/>
      <c r="AE500" s="164"/>
      <c r="AF500" s="148"/>
      <c r="AG500" s="148"/>
      <c r="AH500" s="183"/>
    </row>
    <row r="501" spans="2:34" ht="35.1" customHeight="1" thickTop="1" thickBot="1" x14ac:dyDescent="0.25">
      <c r="B501" s="143"/>
      <c r="C501" s="143"/>
      <c r="D501" s="143"/>
      <c r="E501" s="143"/>
      <c r="F501" s="143"/>
      <c r="G501" s="143"/>
      <c r="H501" s="143"/>
      <c r="I501" s="160"/>
      <c r="J501" s="12" t="s">
        <v>25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e">
        <f t="shared" si="81"/>
        <v>#DIV/0!</v>
      </c>
      <c r="AA501" s="149"/>
      <c r="AB501" s="149"/>
      <c r="AC501" s="153"/>
      <c r="AD501" s="153"/>
      <c r="AE501" s="165"/>
      <c r="AF501" s="149"/>
      <c r="AG501" s="149"/>
      <c r="AH501" s="184"/>
    </row>
    <row r="502" spans="2:34" ht="35.1" customHeight="1" thickTop="1" thickBot="1" x14ac:dyDescent="0.25">
      <c r="B502" s="141"/>
      <c r="C502" s="141"/>
      <c r="D502" s="141"/>
      <c r="E502" s="141"/>
      <c r="F502" s="141"/>
      <c r="G502" s="141"/>
      <c r="H502" s="141"/>
      <c r="I502" s="158"/>
      <c r="J502" s="18" t="s">
        <v>30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e">
        <f t="shared" si="81"/>
        <v>#DIV/0!</v>
      </c>
      <c r="AA502" s="147" t="e">
        <f>AVERAGE(Z502,Z503,Z504,Z507)</f>
        <v>#DIV/0!</v>
      </c>
      <c r="AB502" s="150"/>
      <c r="AC502" s="151"/>
      <c r="AD502" s="151"/>
      <c r="AE502" s="163"/>
      <c r="AF502" s="150"/>
      <c r="AG502" s="150"/>
      <c r="AH502" s="182" t="e">
        <f t="shared" ref="AH502" si="90">(AC502)/AB502</f>
        <v>#DIV/0!</v>
      </c>
    </row>
    <row r="503" spans="2:34" ht="35.1" customHeight="1" thickTop="1" thickBot="1" x14ac:dyDescent="0.25">
      <c r="B503" s="142"/>
      <c r="C503" s="142"/>
      <c r="D503" s="142"/>
      <c r="E503" s="142"/>
      <c r="F503" s="142"/>
      <c r="G503" s="142"/>
      <c r="H503" s="142"/>
      <c r="I503" s="159"/>
      <c r="J503" s="18" t="s">
        <v>29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e">
        <f t="shared" si="81"/>
        <v>#DIV/0!</v>
      </c>
      <c r="AA503" s="148"/>
      <c r="AB503" s="148"/>
      <c r="AC503" s="152"/>
      <c r="AD503" s="152"/>
      <c r="AE503" s="164"/>
      <c r="AF503" s="148"/>
      <c r="AG503" s="148"/>
      <c r="AH503" s="183"/>
    </row>
    <row r="504" spans="2:34" ht="35.1" customHeight="1" thickTop="1" thickBot="1" x14ac:dyDescent="0.25">
      <c r="B504" s="142"/>
      <c r="C504" s="142"/>
      <c r="D504" s="142"/>
      <c r="E504" s="142"/>
      <c r="F504" s="142"/>
      <c r="G504" s="142"/>
      <c r="H504" s="142"/>
      <c r="I504" s="159"/>
      <c r="J504" s="18" t="s">
        <v>28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e">
        <f t="shared" si="81"/>
        <v>#DIV/0!</v>
      </c>
      <c r="AA504" s="148"/>
      <c r="AB504" s="148"/>
      <c r="AC504" s="152"/>
      <c r="AD504" s="152"/>
      <c r="AE504" s="164"/>
      <c r="AF504" s="148"/>
      <c r="AG504" s="148"/>
      <c r="AH504" s="183"/>
    </row>
    <row r="505" spans="2:34" ht="35.1" customHeight="1" thickTop="1" thickBot="1" x14ac:dyDescent="0.25">
      <c r="B505" s="142"/>
      <c r="C505" s="142"/>
      <c r="D505" s="142"/>
      <c r="E505" s="142"/>
      <c r="F505" s="142"/>
      <c r="G505" s="142"/>
      <c r="H505" s="142"/>
      <c r="I505" s="159"/>
      <c r="J505" s="18" t="s">
        <v>27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e">
        <f t="shared" si="81"/>
        <v>#DIV/0!</v>
      </c>
      <c r="AA505" s="148"/>
      <c r="AB505" s="148"/>
      <c r="AC505" s="152"/>
      <c r="AD505" s="152"/>
      <c r="AE505" s="164"/>
      <c r="AF505" s="148"/>
      <c r="AG505" s="148"/>
      <c r="AH505" s="183"/>
    </row>
    <row r="506" spans="2:34" ht="35.1" customHeight="1" thickTop="1" thickBot="1" x14ac:dyDescent="0.25">
      <c r="B506" s="142"/>
      <c r="C506" s="142"/>
      <c r="D506" s="142"/>
      <c r="E506" s="142"/>
      <c r="F506" s="142"/>
      <c r="G506" s="142"/>
      <c r="H506" s="142"/>
      <c r="I506" s="159"/>
      <c r="J506" s="18" t="s">
        <v>26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e">
        <f t="shared" si="81"/>
        <v>#DIV/0!</v>
      </c>
      <c r="AA506" s="148"/>
      <c r="AB506" s="148"/>
      <c r="AC506" s="152"/>
      <c r="AD506" s="152"/>
      <c r="AE506" s="164"/>
      <c r="AF506" s="148"/>
      <c r="AG506" s="148"/>
      <c r="AH506" s="183"/>
    </row>
    <row r="507" spans="2:34" ht="35.1" customHeight="1" thickTop="1" thickBot="1" x14ac:dyDescent="0.25">
      <c r="B507" s="143"/>
      <c r="C507" s="143"/>
      <c r="D507" s="143"/>
      <c r="E507" s="143"/>
      <c r="F507" s="143"/>
      <c r="G507" s="143"/>
      <c r="H507" s="143"/>
      <c r="I507" s="160"/>
      <c r="J507" s="12" t="s">
        <v>25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e">
        <f t="shared" si="81"/>
        <v>#DIV/0!</v>
      </c>
      <c r="AA507" s="149"/>
      <c r="AB507" s="149"/>
      <c r="AC507" s="153"/>
      <c r="AD507" s="153"/>
      <c r="AE507" s="165"/>
      <c r="AF507" s="149"/>
      <c r="AG507" s="149"/>
      <c r="AH507" s="184"/>
    </row>
    <row r="508" spans="2:34" ht="35.1" customHeight="1" thickTop="1" thickBot="1" x14ac:dyDescent="0.25">
      <c r="B508" s="141"/>
      <c r="C508" s="141"/>
      <c r="D508" s="141"/>
      <c r="E508" s="141"/>
      <c r="F508" s="141"/>
      <c r="G508" s="141"/>
      <c r="H508" s="141"/>
      <c r="I508" s="158"/>
      <c r="J508" s="18" t="s">
        <v>30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e">
        <f t="shared" si="81"/>
        <v>#DIV/0!</v>
      </c>
      <c r="AA508" s="147" t="e">
        <f>AVERAGE(Z508,Z509,Z510,Z513)</f>
        <v>#DIV/0!</v>
      </c>
      <c r="AB508" s="150"/>
      <c r="AC508" s="151"/>
      <c r="AD508" s="151"/>
      <c r="AE508" s="163"/>
      <c r="AF508" s="150"/>
      <c r="AG508" s="150"/>
      <c r="AH508" s="182" t="e">
        <f t="shared" ref="AH508" si="91">(AC508)/AB508</f>
        <v>#DIV/0!</v>
      </c>
    </row>
    <row r="509" spans="2:34" ht="35.1" customHeight="1" thickTop="1" thickBot="1" x14ac:dyDescent="0.25">
      <c r="B509" s="142"/>
      <c r="C509" s="142"/>
      <c r="D509" s="142"/>
      <c r="E509" s="142"/>
      <c r="F509" s="142"/>
      <c r="G509" s="142"/>
      <c r="H509" s="142"/>
      <c r="I509" s="159"/>
      <c r="J509" s="18" t="s">
        <v>29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e">
        <f t="shared" si="81"/>
        <v>#DIV/0!</v>
      </c>
      <c r="AA509" s="148"/>
      <c r="AB509" s="148"/>
      <c r="AC509" s="152"/>
      <c r="AD509" s="152"/>
      <c r="AE509" s="164"/>
      <c r="AF509" s="148"/>
      <c r="AG509" s="148"/>
      <c r="AH509" s="183"/>
    </row>
    <row r="510" spans="2:34" ht="35.1" customHeight="1" thickTop="1" thickBot="1" x14ac:dyDescent="0.25">
      <c r="B510" s="142"/>
      <c r="C510" s="142"/>
      <c r="D510" s="142"/>
      <c r="E510" s="142"/>
      <c r="F510" s="142"/>
      <c r="G510" s="142"/>
      <c r="H510" s="142"/>
      <c r="I510" s="159"/>
      <c r="J510" s="18" t="s">
        <v>28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e">
        <f t="shared" si="81"/>
        <v>#DIV/0!</v>
      </c>
      <c r="AA510" s="148"/>
      <c r="AB510" s="148"/>
      <c r="AC510" s="152"/>
      <c r="AD510" s="152"/>
      <c r="AE510" s="164"/>
      <c r="AF510" s="148"/>
      <c r="AG510" s="148"/>
      <c r="AH510" s="183"/>
    </row>
    <row r="511" spans="2:34" ht="35.1" customHeight="1" thickTop="1" thickBot="1" x14ac:dyDescent="0.25">
      <c r="B511" s="142"/>
      <c r="C511" s="142"/>
      <c r="D511" s="142"/>
      <c r="E511" s="142"/>
      <c r="F511" s="142"/>
      <c r="G511" s="142"/>
      <c r="H511" s="142"/>
      <c r="I511" s="159"/>
      <c r="J511" s="18" t="s">
        <v>27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e">
        <f t="shared" si="81"/>
        <v>#DIV/0!</v>
      </c>
      <c r="AA511" s="148"/>
      <c r="AB511" s="148"/>
      <c r="AC511" s="152"/>
      <c r="AD511" s="152"/>
      <c r="AE511" s="164"/>
      <c r="AF511" s="148"/>
      <c r="AG511" s="148"/>
      <c r="AH511" s="183"/>
    </row>
    <row r="512" spans="2:34" ht="35.1" customHeight="1" thickTop="1" thickBot="1" x14ac:dyDescent="0.25">
      <c r="B512" s="142"/>
      <c r="C512" s="142"/>
      <c r="D512" s="142"/>
      <c r="E512" s="142"/>
      <c r="F512" s="142"/>
      <c r="G512" s="142"/>
      <c r="H512" s="142"/>
      <c r="I512" s="159"/>
      <c r="J512" s="18" t="s">
        <v>26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e">
        <f t="shared" si="81"/>
        <v>#DIV/0!</v>
      </c>
      <c r="AA512" s="148"/>
      <c r="AB512" s="148"/>
      <c r="AC512" s="152"/>
      <c r="AD512" s="152"/>
      <c r="AE512" s="164"/>
      <c r="AF512" s="148"/>
      <c r="AG512" s="148"/>
      <c r="AH512" s="183"/>
    </row>
    <row r="513" spans="2:34" ht="35.1" customHeight="1" thickTop="1" thickBot="1" x14ac:dyDescent="0.25">
      <c r="B513" s="143"/>
      <c r="C513" s="143"/>
      <c r="D513" s="143"/>
      <c r="E513" s="143"/>
      <c r="F513" s="143"/>
      <c r="G513" s="143"/>
      <c r="H513" s="143"/>
      <c r="I513" s="160"/>
      <c r="J513" s="12" t="s">
        <v>25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e">
        <f t="shared" si="81"/>
        <v>#DIV/0!</v>
      </c>
      <c r="AA513" s="149"/>
      <c r="AB513" s="149"/>
      <c r="AC513" s="153"/>
      <c r="AD513" s="153"/>
      <c r="AE513" s="165"/>
      <c r="AF513" s="149"/>
      <c r="AG513" s="149"/>
      <c r="AH513" s="184"/>
    </row>
    <row r="514" spans="2:34" ht="35.1" customHeight="1" thickTop="1" thickBot="1" x14ac:dyDescent="0.25">
      <c r="B514" s="141"/>
      <c r="C514" s="141"/>
      <c r="D514" s="141"/>
      <c r="E514" s="141"/>
      <c r="F514" s="141"/>
      <c r="G514" s="141"/>
      <c r="H514" s="141"/>
      <c r="I514" s="158"/>
      <c r="J514" s="18" t="s">
        <v>30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e">
        <f t="shared" si="81"/>
        <v>#DIV/0!</v>
      </c>
      <c r="AA514" s="147" t="e">
        <f>AVERAGE(Z514,Z515,Z516,Z519)</f>
        <v>#DIV/0!</v>
      </c>
      <c r="AB514" s="150"/>
      <c r="AC514" s="151"/>
      <c r="AD514" s="151"/>
      <c r="AE514" s="163"/>
      <c r="AF514" s="150"/>
      <c r="AG514" s="150"/>
      <c r="AH514" s="182" t="e">
        <f t="shared" ref="AH514" si="92">(AC514)/AB514</f>
        <v>#DIV/0!</v>
      </c>
    </row>
    <row r="515" spans="2:34" ht="35.1" customHeight="1" thickTop="1" thickBot="1" x14ac:dyDescent="0.25">
      <c r="B515" s="142"/>
      <c r="C515" s="142"/>
      <c r="D515" s="142"/>
      <c r="E515" s="142"/>
      <c r="F515" s="142"/>
      <c r="G515" s="142"/>
      <c r="H515" s="142"/>
      <c r="I515" s="159"/>
      <c r="J515" s="18" t="s">
        <v>29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e">
        <f t="shared" si="81"/>
        <v>#DIV/0!</v>
      </c>
      <c r="AA515" s="148"/>
      <c r="AB515" s="148"/>
      <c r="AC515" s="152"/>
      <c r="AD515" s="152"/>
      <c r="AE515" s="164"/>
      <c r="AF515" s="148"/>
      <c r="AG515" s="148"/>
      <c r="AH515" s="183"/>
    </row>
    <row r="516" spans="2:34" ht="35.1" customHeight="1" thickTop="1" thickBot="1" x14ac:dyDescent="0.25">
      <c r="B516" s="142"/>
      <c r="C516" s="142"/>
      <c r="D516" s="142"/>
      <c r="E516" s="142"/>
      <c r="F516" s="142"/>
      <c r="G516" s="142"/>
      <c r="H516" s="142"/>
      <c r="I516" s="159"/>
      <c r="J516" s="18" t="s">
        <v>28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e">
        <f t="shared" ref="Z516:Z579" si="93">(L516)/K516</f>
        <v>#DIV/0!</v>
      </c>
      <c r="AA516" s="148"/>
      <c r="AB516" s="148"/>
      <c r="AC516" s="152"/>
      <c r="AD516" s="152"/>
      <c r="AE516" s="164"/>
      <c r="AF516" s="148"/>
      <c r="AG516" s="148"/>
      <c r="AH516" s="183"/>
    </row>
    <row r="517" spans="2:34" ht="35.1" customHeight="1" thickTop="1" thickBot="1" x14ac:dyDescent="0.25">
      <c r="B517" s="142"/>
      <c r="C517" s="142"/>
      <c r="D517" s="142"/>
      <c r="E517" s="142"/>
      <c r="F517" s="142"/>
      <c r="G517" s="142"/>
      <c r="H517" s="142"/>
      <c r="I517" s="159"/>
      <c r="J517" s="18" t="s">
        <v>27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e">
        <f t="shared" si="93"/>
        <v>#DIV/0!</v>
      </c>
      <c r="AA517" s="148"/>
      <c r="AB517" s="148"/>
      <c r="AC517" s="152"/>
      <c r="AD517" s="152"/>
      <c r="AE517" s="164"/>
      <c r="AF517" s="148"/>
      <c r="AG517" s="148"/>
      <c r="AH517" s="183"/>
    </row>
    <row r="518" spans="2:34" ht="35.1" customHeight="1" thickTop="1" thickBot="1" x14ac:dyDescent="0.25">
      <c r="B518" s="142"/>
      <c r="C518" s="142"/>
      <c r="D518" s="142"/>
      <c r="E518" s="142"/>
      <c r="F518" s="142"/>
      <c r="G518" s="142"/>
      <c r="H518" s="142"/>
      <c r="I518" s="159"/>
      <c r="J518" s="18" t="s">
        <v>26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e">
        <f t="shared" si="93"/>
        <v>#DIV/0!</v>
      </c>
      <c r="AA518" s="148"/>
      <c r="AB518" s="148"/>
      <c r="AC518" s="152"/>
      <c r="AD518" s="152"/>
      <c r="AE518" s="164"/>
      <c r="AF518" s="148"/>
      <c r="AG518" s="148"/>
      <c r="AH518" s="183"/>
    </row>
    <row r="519" spans="2:34" ht="35.1" customHeight="1" thickTop="1" thickBot="1" x14ac:dyDescent="0.25">
      <c r="B519" s="143"/>
      <c r="C519" s="143"/>
      <c r="D519" s="143"/>
      <c r="E519" s="143"/>
      <c r="F519" s="143"/>
      <c r="G519" s="143"/>
      <c r="H519" s="143"/>
      <c r="I519" s="160"/>
      <c r="J519" s="12" t="s">
        <v>25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e">
        <f t="shared" si="93"/>
        <v>#DIV/0!</v>
      </c>
      <c r="AA519" s="149"/>
      <c r="AB519" s="149"/>
      <c r="AC519" s="153"/>
      <c r="AD519" s="153"/>
      <c r="AE519" s="165"/>
      <c r="AF519" s="149"/>
      <c r="AG519" s="149"/>
      <c r="AH519" s="184"/>
    </row>
    <row r="520" spans="2:34" ht="35.1" customHeight="1" thickTop="1" thickBot="1" x14ac:dyDescent="0.25">
      <c r="B520" s="141"/>
      <c r="C520" s="141"/>
      <c r="D520" s="141"/>
      <c r="E520" s="141"/>
      <c r="F520" s="141"/>
      <c r="G520" s="141"/>
      <c r="H520" s="141"/>
      <c r="I520" s="158"/>
      <c r="J520" s="18" t="s">
        <v>30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e">
        <f t="shared" si="93"/>
        <v>#DIV/0!</v>
      </c>
      <c r="AA520" s="147" t="e">
        <f>AVERAGE(Z520,Z521,Z522,Z525)</f>
        <v>#DIV/0!</v>
      </c>
      <c r="AB520" s="150"/>
      <c r="AC520" s="151"/>
      <c r="AD520" s="151"/>
      <c r="AE520" s="163"/>
      <c r="AF520" s="150"/>
      <c r="AG520" s="150"/>
      <c r="AH520" s="182" t="e">
        <f t="shared" ref="AH520" si="94">(AC520)/AB520</f>
        <v>#DIV/0!</v>
      </c>
    </row>
    <row r="521" spans="2:34" ht="35.1" customHeight="1" thickTop="1" thickBot="1" x14ac:dyDescent="0.25">
      <c r="B521" s="142"/>
      <c r="C521" s="142"/>
      <c r="D521" s="142"/>
      <c r="E521" s="142"/>
      <c r="F521" s="142"/>
      <c r="G521" s="142"/>
      <c r="H521" s="142"/>
      <c r="I521" s="159"/>
      <c r="J521" s="18" t="s">
        <v>29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e">
        <f t="shared" si="93"/>
        <v>#DIV/0!</v>
      </c>
      <c r="AA521" s="148"/>
      <c r="AB521" s="148"/>
      <c r="AC521" s="152"/>
      <c r="AD521" s="152"/>
      <c r="AE521" s="164"/>
      <c r="AF521" s="148"/>
      <c r="AG521" s="148"/>
      <c r="AH521" s="183"/>
    </row>
    <row r="522" spans="2:34" ht="35.1" customHeight="1" thickTop="1" thickBot="1" x14ac:dyDescent="0.25">
      <c r="B522" s="142"/>
      <c r="C522" s="142"/>
      <c r="D522" s="142"/>
      <c r="E522" s="142"/>
      <c r="F522" s="142"/>
      <c r="G522" s="142"/>
      <c r="H522" s="142"/>
      <c r="I522" s="159"/>
      <c r="J522" s="18" t="s">
        <v>28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e">
        <f t="shared" si="93"/>
        <v>#DIV/0!</v>
      </c>
      <c r="AA522" s="148"/>
      <c r="AB522" s="148"/>
      <c r="AC522" s="152"/>
      <c r="AD522" s="152"/>
      <c r="AE522" s="164"/>
      <c r="AF522" s="148"/>
      <c r="AG522" s="148"/>
      <c r="AH522" s="183"/>
    </row>
    <row r="523" spans="2:34" ht="35.1" customHeight="1" thickTop="1" thickBot="1" x14ac:dyDescent="0.25">
      <c r="B523" s="142"/>
      <c r="C523" s="142"/>
      <c r="D523" s="142"/>
      <c r="E523" s="142"/>
      <c r="F523" s="142"/>
      <c r="G523" s="142"/>
      <c r="H523" s="142"/>
      <c r="I523" s="159"/>
      <c r="J523" s="18" t="s">
        <v>27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e">
        <f t="shared" si="93"/>
        <v>#DIV/0!</v>
      </c>
      <c r="AA523" s="148"/>
      <c r="AB523" s="148"/>
      <c r="AC523" s="152"/>
      <c r="AD523" s="152"/>
      <c r="AE523" s="164"/>
      <c r="AF523" s="148"/>
      <c r="AG523" s="148"/>
      <c r="AH523" s="183"/>
    </row>
    <row r="524" spans="2:34" ht="35.1" customHeight="1" thickTop="1" thickBot="1" x14ac:dyDescent="0.25">
      <c r="B524" s="142"/>
      <c r="C524" s="142"/>
      <c r="D524" s="142"/>
      <c r="E524" s="142"/>
      <c r="F524" s="142"/>
      <c r="G524" s="142"/>
      <c r="H524" s="142"/>
      <c r="I524" s="159"/>
      <c r="J524" s="18" t="s">
        <v>26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e">
        <f t="shared" si="93"/>
        <v>#DIV/0!</v>
      </c>
      <c r="AA524" s="148"/>
      <c r="AB524" s="148"/>
      <c r="AC524" s="152"/>
      <c r="AD524" s="152"/>
      <c r="AE524" s="164"/>
      <c r="AF524" s="148"/>
      <c r="AG524" s="148"/>
      <c r="AH524" s="183"/>
    </row>
    <row r="525" spans="2:34" ht="35.1" customHeight="1" thickTop="1" thickBot="1" x14ac:dyDescent="0.25">
      <c r="B525" s="143"/>
      <c r="C525" s="143"/>
      <c r="D525" s="143"/>
      <c r="E525" s="143"/>
      <c r="F525" s="143"/>
      <c r="G525" s="143"/>
      <c r="H525" s="143"/>
      <c r="I525" s="160"/>
      <c r="J525" s="12" t="s">
        <v>25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e">
        <f t="shared" si="93"/>
        <v>#DIV/0!</v>
      </c>
      <c r="AA525" s="149"/>
      <c r="AB525" s="149"/>
      <c r="AC525" s="153"/>
      <c r="AD525" s="153"/>
      <c r="AE525" s="165"/>
      <c r="AF525" s="149"/>
      <c r="AG525" s="149"/>
      <c r="AH525" s="184"/>
    </row>
    <row r="526" spans="2:34" ht="35.1" customHeight="1" thickTop="1" thickBot="1" x14ac:dyDescent="0.25">
      <c r="B526" s="141"/>
      <c r="C526" s="141"/>
      <c r="D526" s="141"/>
      <c r="E526" s="141"/>
      <c r="F526" s="141"/>
      <c r="G526" s="141"/>
      <c r="H526" s="141"/>
      <c r="I526" s="158"/>
      <c r="J526" s="18" t="s">
        <v>30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e">
        <f t="shared" si="93"/>
        <v>#DIV/0!</v>
      </c>
      <c r="AA526" s="147" t="e">
        <f>AVERAGE(Z526,Z527,Z528,Z531)</f>
        <v>#DIV/0!</v>
      </c>
      <c r="AB526" s="150"/>
      <c r="AC526" s="151"/>
      <c r="AD526" s="151"/>
      <c r="AE526" s="163"/>
      <c r="AF526" s="150"/>
      <c r="AG526" s="150"/>
      <c r="AH526" s="182" t="e">
        <f t="shared" ref="AH526" si="95">(AC526)/AB526</f>
        <v>#DIV/0!</v>
      </c>
    </row>
    <row r="527" spans="2:34" ht="35.1" customHeight="1" thickTop="1" thickBot="1" x14ac:dyDescent="0.25">
      <c r="B527" s="142"/>
      <c r="C527" s="142"/>
      <c r="D527" s="142"/>
      <c r="E527" s="142"/>
      <c r="F527" s="142"/>
      <c r="G527" s="142"/>
      <c r="H527" s="142"/>
      <c r="I527" s="159"/>
      <c r="J527" s="18" t="s">
        <v>29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e">
        <f t="shared" si="93"/>
        <v>#DIV/0!</v>
      </c>
      <c r="AA527" s="148"/>
      <c r="AB527" s="148"/>
      <c r="AC527" s="152"/>
      <c r="AD527" s="152"/>
      <c r="AE527" s="164"/>
      <c r="AF527" s="148"/>
      <c r="AG527" s="148"/>
      <c r="AH527" s="183"/>
    </row>
    <row r="528" spans="2:34" ht="35.1" customHeight="1" thickTop="1" thickBot="1" x14ac:dyDescent="0.25">
      <c r="B528" s="142"/>
      <c r="C528" s="142"/>
      <c r="D528" s="142"/>
      <c r="E528" s="142"/>
      <c r="F528" s="142"/>
      <c r="G528" s="142"/>
      <c r="H528" s="142"/>
      <c r="I528" s="159"/>
      <c r="J528" s="18" t="s">
        <v>28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e">
        <f t="shared" si="93"/>
        <v>#DIV/0!</v>
      </c>
      <c r="AA528" s="148"/>
      <c r="AB528" s="148"/>
      <c r="AC528" s="152"/>
      <c r="AD528" s="152"/>
      <c r="AE528" s="164"/>
      <c r="AF528" s="148"/>
      <c r="AG528" s="148"/>
      <c r="AH528" s="183"/>
    </row>
    <row r="529" spans="2:34" ht="35.1" customHeight="1" thickTop="1" thickBot="1" x14ac:dyDescent="0.25">
      <c r="B529" s="142"/>
      <c r="C529" s="142"/>
      <c r="D529" s="142"/>
      <c r="E529" s="142"/>
      <c r="F529" s="142"/>
      <c r="G529" s="142"/>
      <c r="H529" s="142"/>
      <c r="I529" s="159"/>
      <c r="J529" s="18" t="s">
        <v>27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e">
        <f t="shared" si="93"/>
        <v>#DIV/0!</v>
      </c>
      <c r="AA529" s="148"/>
      <c r="AB529" s="148"/>
      <c r="AC529" s="152"/>
      <c r="AD529" s="152"/>
      <c r="AE529" s="164"/>
      <c r="AF529" s="148"/>
      <c r="AG529" s="148"/>
      <c r="AH529" s="183"/>
    </row>
    <row r="530" spans="2:34" ht="35.1" customHeight="1" thickTop="1" thickBot="1" x14ac:dyDescent="0.25">
      <c r="B530" s="142"/>
      <c r="C530" s="142"/>
      <c r="D530" s="142"/>
      <c r="E530" s="142"/>
      <c r="F530" s="142"/>
      <c r="G530" s="142"/>
      <c r="H530" s="142"/>
      <c r="I530" s="159"/>
      <c r="J530" s="18" t="s">
        <v>26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e">
        <f t="shared" si="93"/>
        <v>#DIV/0!</v>
      </c>
      <c r="AA530" s="148"/>
      <c r="AB530" s="148"/>
      <c r="AC530" s="152"/>
      <c r="AD530" s="152"/>
      <c r="AE530" s="164"/>
      <c r="AF530" s="148"/>
      <c r="AG530" s="148"/>
      <c r="AH530" s="183"/>
    </row>
    <row r="531" spans="2:34" ht="35.1" customHeight="1" thickTop="1" thickBot="1" x14ac:dyDescent="0.25">
      <c r="B531" s="143"/>
      <c r="C531" s="143"/>
      <c r="D531" s="143"/>
      <c r="E531" s="143"/>
      <c r="F531" s="143"/>
      <c r="G531" s="143"/>
      <c r="H531" s="143"/>
      <c r="I531" s="160"/>
      <c r="J531" s="12" t="s">
        <v>25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e">
        <f t="shared" si="93"/>
        <v>#DIV/0!</v>
      </c>
      <c r="AA531" s="149"/>
      <c r="AB531" s="149"/>
      <c r="AC531" s="153"/>
      <c r="AD531" s="153"/>
      <c r="AE531" s="165"/>
      <c r="AF531" s="149"/>
      <c r="AG531" s="149"/>
      <c r="AH531" s="184"/>
    </row>
    <row r="532" spans="2:34" ht="35.1" customHeight="1" thickTop="1" thickBot="1" x14ac:dyDescent="0.25">
      <c r="B532" s="141"/>
      <c r="C532" s="141"/>
      <c r="D532" s="141"/>
      <c r="E532" s="141"/>
      <c r="F532" s="141"/>
      <c r="G532" s="141"/>
      <c r="H532" s="141"/>
      <c r="I532" s="158"/>
      <c r="J532" s="18" t="s">
        <v>30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e">
        <f t="shared" si="93"/>
        <v>#DIV/0!</v>
      </c>
      <c r="AA532" s="147" t="e">
        <f>AVERAGE(Z532,Z533,Z534,Z537)</f>
        <v>#DIV/0!</v>
      </c>
      <c r="AB532" s="150"/>
      <c r="AC532" s="151"/>
      <c r="AD532" s="151"/>
      <c r="AE532" s="163"/>
      <c r="AF532" s="150"/>
      <c r="AG532" s="150"/>
      <c r="AH532" s="182" t="e">
        <f t="shared" ref="AH532" si="96">(AC532)/AB532</f>
        <v>#DIV/0!</v>
      </c>
    </row>
    <row r="533" spans="2:34" ht="35.1" customHeight="1" thickTop="1" thickBot="1" x14ac:dyDescent="0.25">
      <c r="B533" s="142"/>
      <c r="C533" s="142"/>
      <c r="D533" s="142"/>
      <c r="E533" s="142"/>
      <c r="F533" s="142"/>
      <c r="G533" s="142"/>
      <c r="H533" s="142"/>
      <c r="I533" s="159"/>
      <c r="J533" s="18" t="s">
        <v>29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e">
        <f t="shared" si="93"/>
        <v>#DIV/0!</v>
      </c>
      <c r="AA533" s="148"/>
      <c r="AB533" s="148"/>
      <c r="AC533" s="152"/>
      <c r="AD533" s="152"/>
      <c r="AE533" s="164"/>
      <c r="AF533" s="148"/>
      <c r="AG533" s="148"/>
      <c r="AH533" s="183"/>
    </row>
    <row r="534" spans="2:34" ht="35.1" customHeight="1" thickTop="1" thickBot="1" x14ac:dyDescent="0.25">
      <c r="B534" s="142"/>
      <c r="C534" s="142"/>
      <c r="D534" s="142"/>
      <c r="E534" s="142"/>
      <c r="F534" s="142"/>
      <c r="G534" s="142"/>
      <c r="H534" s="142"/>
      <c r="I534" s="159"/>
      <c r="J534" s="18" t="s">
        <v>28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e">
        <f t="shared" si="93"/>
        <v>#DIV/0!</v>
      </c>
      <c r="AA534" s="148"/>
      <c r="AB534" s="148"/>
      <c r="AC534" s="152"/>
      <c r="AD534" s="152"/>
      <c r="AE534" s="164"/>
      <c r="AF534" s="148"/>
      <c r="AG534" s="148"/>
      <c r="AH534" s="183"/>
    </row>
    <row r="535" spans="2:34" ht="35.1" customHeight="1" thickTop="1" thickBot="1" x14ac:dyDescent="0.25">
      <c r="B535" s="142"/>
      <c r="C535" s="142"/>
      <c r="D535" s="142"/>
      <c r="E535" s="142"/>
      <c r="F535" s="142"/>
      <c r="G535" s="142"/>
      <c r="H535" s="142"/>
      <c r="I535" s="159"/>
      <c r="J535" s="18" t="s">
        <v>27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e">
        <f t="shared" si="93"/>
        <v>#DIV/0!</v>
      </c>
      <c r="AA535" s="148"/>
      <c r="AB535" s="148"/>
      <c r="AC535" s="152"/>
      <c r="AD535" s="152"/>
      <c r="AE535" s="164"/>
      <c r="AF535" s="148"/>
      <c r="AG535" s="148"/>
      <c r="AH535" s="183"/>
    </row>
    <row r="536" spans="2:34" ht="35.1" customHeight="1" thickTop="1" thickBot="1" x14ac:dyDescent="0.25">
      <c r="B536" s="142"/>
      <c r="C536" s="142"/>
      <c r="D536" s="142"/>
      <c r="E536" s="142"/>
      <c r="F536" s="142"/>
      <c r="G536" s="142"/>
      <c r="H536" s="142"/>
      <c r="I536" s="159"/>
      <c r="J536" s="18" t="s">
        <v>26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e">
        <f t="shared" si="93"/>
        <v>#DIV/0!</v>
      </c>
      <c r="AA536" s="148"/>
      <c r="AB536" s="148"/>
      <c r="AC536" s="152"/>
      <c r="AD536" s="152"/>
      <c r="AE536" s="164"/>
      <c r="AF536" s="148"/>
      <c r="AG536" s="148"/>
      <c r="AH536" s="183"/>
    </row>
    <row r="537" spans="2:34" ht="35.1" customHeight="1" thickTop="1" thickBot="1" x14ac:dyDescent="0.25">
      <c r="B537" s="143"/>
      <c r="C537" s="143"/>
      <c r="D537" s="143"/>
      <c r="E537" s="143"/>
      <c r="F537" s="143"/>
      <c r="G537" s="143"/>
      <c r="H537" s="143"/>
      <c r="I537" s="160"/>
      <c r="J537" s="12" t="s">
        <v>25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e">
        <f t="shared" si="93"/>
        <v>#DIV/0!</v>
      </c>
      <c r="AA537" s="149"/>
      <c r="AB537" s="149"/>
      <c r="AC537" s="153"/>
      <c r="AD537" s="153"/>
      <c r="AE537" s="165"/>
      <c r="AF537" s="149"/>
      <c r="AG537" s="149"/>
      <c r="AH537" s="184"/>
    </row>
    <row r="538" spans="2:34" ht="35.1" customHeight="1" thickTop="1" thickBot="1" x14ac:dyDescent="0.25">
      <c r="B538" s="141"/>
      <c r="C538" s="141"/>
      <c r="D538" s="141"/>
      <c r="E538" s="141"/>
      <c r="F538" s="141"/>
      <c r="G538" s="141"/>
      <c r="H538" s="141"/>
      <c r="I538" s="158"/>
      <c r="J538" s="18" t="s">
        <v>30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e">
        <f t="shared" si="93"/>
        <v>#DIV/0!</v>
      </c>
      <c r="AA538" s="147" t="e">
        <f>AVERAGE(Z538,Z539,Z540,Z543)</f>
        <v>#DIV/0!</v>
      </c>
      <c r="AB538" s="150"/>
      <c r="AC538" s="151"/>
      <c r="AD538" s="151"/>
      <c r="AE538" s="163"/>
      <c r="AF538" s="150"/>
      <c r="AG538" s="150"/>
      <c r="AH538" s="182" t="e">
        <f t="shared" ref="AH538" si="97">(AC538)/AB538</f>
        <v>#DIV/0!</v>
      </c>
    </row>
    <row r="539" spans="2:34" ht="35.1" customHeight="1" thickTop="1" thickBot="1" x14ac:dyDescent="0.25">
      <c r="B539" s="142"/>
      <c r="C539" s="142"/>
      <c r="D539" s="142"/>
      <c r="E539" s="142"/>
      <c r="F539" s="142"/>
      <c r="G539" s="142"/>
      <c r="H539" s="142"/>
      <c r="I539" s="159"/>
      <c r="J539" s="18" t="s">
        <v>29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e">
        <f t="shared" si="93"/>
        <v>#DIV/0!</v>
      </c>
      <c r="AA539" s="148"/>
      <c r="AB539" s="148"/>
      <c r="AC539" s="152"/>
      <c r="AD539" s="152"/>
      <c r="AE539" s="164"/>
      <c r="AF539" s="148"/>
      <c r="AG539" s="148"/>
      <c r="AH539" s="183"/>
    </row>
    <row r="540" spans="2:34" ht="35.1" customHeight="1" thickTop="1" thickBot="1" x14ac:dyDescent="0.25">
      <c r="B540" s="142"/>
      <c r="C540" s="142"/>
      <c r="D540" s="142"/>
      <c r="E540" s="142"/>
      <c r="F540" s="142"/>
      <c r="G540" s="142"/>
      <c r="H540" s="142"/>
      <c r="I540" s="159"/>
      <c r="J540" s="18" t="s">
        <v>28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e">
        <f t="shared" si="93"/>
        <v>#DIV/0!</v>
      </c>
      <c r="AA540" s="148"/>
      <c r="AB540" s="148"/>
      <c r="AC540" s="152"/>
      <c r="AD540" s="152"/>
      <c r="AE540" s="164"/>
      <c r="AF540" s="148"/>
      <c r="AG540" s="148"/>
      <c r="AH540" s="183"/>
    </row>
    <row r="541" spans="2:34" ht="35.1" customHeight="1" thickTop="1" thickBot="1" x14ac:dyDescent="0.25">
      <c r="B541" s="142"/>
      <c r="C541" s="142"/>
      <c r="D541" s="142"/>
      <c r="E541" s="142"/>
      <c r="F541" s="142"/>
      <c r="G541" s="142"/>
      <c r="H541" s="142"/>
      <c r="I541" s="159"/>
      <c r="J541" s="18" t="s">
        <v>27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e">
        <f t="shared" si="93"/>
        <v>#DIV/0!</v>
      </c>
      <c r="AA541" s="148"/>
      <c r="AB541" s="148"/>
      <c r="AC541" s="152"/>
      <c r="AD541" s="152"/>
      <c r="AE541" s="164"/>
      <c r="AF541" s="148"/>
      <c r="AG541" s="148"/>
      <c r="AH541" s="183"/>
    </row>
    <row r="542" spans="2:34" ht="35.1" customHeight="1" thickTop="1" thickBot="1" x14ac:dyDescent="0.25">
      <c r="B542" s="142"/>
      <c r="C542" s="142"/>
      <c r="D542" s="142"/>
      <c r="E542" s="142"/>
      <c r="F542" s="142"/>
      <c r="G542" s="142"/>
      <c r="H542" s="142"/>
      <c r="I542" s="159"/>
      <c r="J542" s="18" t="s">
        <v>26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e">
        <f t="shared" si="93"/>
        <v>#DIV/0!</v>
      </c>
      <c r="AA542" s="148"/>
      <c r="AB542" s="148"/>
      <c r="AC542" s="152"/>
      <c r="AD542" s="152"/>
      <c r="AE542" s="164"/>
      <c r="AF542" s="148"/>
      <c r="AG542" s="148"/>
      <c r="AH542" s="183"/>
    </row>
    <row r="543" spans="2:34" ht="35.1" customHeight="1" thickTop="1" thickBot="1" x14ac:dyDescent="0.25">
      <c r="B543" s="143"/>
      <c r="C543" s="143"/>
      <c r="D543" s="143"/>
      <c r="E543" s="143"/>
      <c r="F543" s="143"/>
      <c r="G543" s="143"/>
      <c r="H543" s="143"/>
      <c r="I543" s="160"/>
      <c r="J543" s="12" t="s">
        <v>25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e">
        <f t="shared" si="93"/>
        <v>#DIV/0!</v>
      </c>
      <c r="AA543" s="149"/>
      <c r="AB543" s="149"/>
      <c r="AC543" s="153"/>
      <c r="AD543" s="153"/>
      <c r="AE543" s="165"/>
      <c r="AF543" s="149"/>
      <c r="AG543" s="149"/>
      <c r="AH543" s="184"/>
    </row>
    <row r="544" spans="2:34" ht="35.1" customHeight="1" thickTop="1" thickBot="1" x14ac:dyDescent="0.25">
      <c r="B544" s="141"/>
      <c r="C544" s="141"/>
      <c r="D544" s="141"/>
      <c r="E544" s="141"/>
      <c r="F544" s="141"/>
      <c r="G544" s="141"/>
      <c r="H544" s="141"/>
      <c r="I544" s="158"/>
      <c r="J544" s="18" t="s">
        <v>30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e">
        <f t="shared" si="93"/>
        <v>#DIV/0!</v>
      </c>
      <c r="AA544" s="147" t="e">
        <f>AVERAGE(Z544,Z545,Z546,Z549)</f>
        <v>#DIV/0!</v>
      </c>
      <c r="AB544" s="150"/>
      <c r="AC544" s="151"/>
      <c r="AD544" s="151"/>
      <c r="AE544" s="163"/>
      <c r="AF544" s="150"/>
      <c r="AG544" s="150"/>
      <c r="AH544" s="182" t="e">
        <f t="shared" ref="AH544" si="98">(AC544)/AB544</f>
        <v>#DIV/0!</v>
      </c>
    </row>
    <row r="545" spans="2:34" ht="35.1" customHeight="1" thickTop="1" thickBot="1" x14ac:dyDescent="0.25">
      <c r="B545" s="142"/>
      <c r="C545" s="142"/>
      <c r="D545" s="142"/>
      <c r="E545" s="142"/>
      <c r="F545" s="142"/>
      <c r="G545" s="142"/>
      <c r="H545" s="142"/>
      <c r="I545" s="159"/>
      <c r="J545" s="18" t="s">
        <v>29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e">
        <f t="shared" si="93"/>
        <v>#DIV/0!</v>
      </c>
      <c r="AA545" s="148"/>
      <c r="AB545" s="148"/>
      <c r="AC545" s="152"/>
      <c r="AD545" s="152"/>
      <c r="AE545" s="164"/>
      <c r="AF545" s="148"/>
      <c r="AG545" s="148"/>
      <c r="AH545" s="183"/>
    </row>
    <row r="546" spans="2:34" ht="35.1" customHeight="1" thickTop="1" thickBot="1" x14ac:dyDescent="0.25">
      <c r="B546" s="142"/>
      <c r="C546" s="142"/>
      <c r="D546" s="142"/>
      <c r="E546" s="142"/>
      <c r="F546" s="142"/>
      <c r="G546" s="142"/>
      <c r="H546" s="142"/>
      <c r="I546" s="159"/>
      <c r="J546" s="18" t="s">
        <v>28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e">
        <f t="shared" si="93"/>
        <v>#DIV/0!</v>
      </c>
      <c r="AA546" s="148"/>
      <c r="AB546" s="148"/>
      <c r="AC546" s="152"/>
      <c r="AD546" s="152"/>
      <c r="AE546" s="164"/>
      <c r="AF546" s="148"/>
      <c r="AG546" s="148"/>
      <c r="AH546" s="183"/>
    </row>
    <row r="547" spans="2:34" ht="35.1" customHeight="1" thickTop="1" thickBot="1" x14ac:dyDescent="0.25">
      <c r="B547" s="142"/>
      <c r="C547" s="142"/>
      <c r="D547" s="142"/>
      <c r="E547" s="142"/>
      <c r="F547" s="142"/>
      <c r="G547" s="142"/>
      <c r="H547" s="142"/>
      <c r="I547" s="159"/>
      <c r="J547" s="18" t="s">
        <v>27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e">
        <f t="shared" si="93"/>
        <v>#DIV/0!</v>
      </c>
      <c r="AA547" s="148"/>
      <c r="AB547" s="148"/>
      <c r="AC547" s="152"/>
      <c r="AD547" s="152"/>
      <c r="AE547" s="164"/>
      <c r="AF547" s="148"/>
      <c r="AG547" s="148"/>
      <c r="AH547" s="183"/>
    </row>
    <row r="548" spans="2:34" ht="35.1" customHeight="1" thickTop="1" thickBot="1" x14ac:dyDescent="0.25">
      <c r="B548" s="142"/>
      <c r="C548" s="142"/>
      <c r="D548" s="142"/>
      <c r="E548" s="142"/>
      <c r="F548" s="142"/>
      <c r="G548" s="142"/>
      <c r="H548" s="142"/>
      <c r="I548" s="159"/>
      <c r="J548" s="18" t="s">
        <v>26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e">
        <f t="shared" si="93"/>
        <v>#DIV/0!</v>
      </c>
      <c r="AA548" s="148"/>
      <c r="AB548" s="148"/>
      <c r="AC548" s="152"/>
      <c r="AD548" s="152"/>
      <c r="AE548" s="164"/>
      <c r="AF548" s="148"/>
      <c r="AG548" s="148"/>
      <c r="AH548" s="183"/>
    </row>
    <row r="549" spans="2:34" ht="35.1" customHeight="1" thickTop="1" thickBot="1" x14ac:dyDescent="0.25">
      <c r="B549" s="143"/>
      <c r="C549" s="143"/>
      <c r="D549" s="143"/>
      <c r="E549" s="143"/>
      <c r="F549" s="143"/>
      <c r="G549" s="143"/>
      <c r="H549" s="143"/>
      <c r="I549" s="160"/>
      <c r="J549" s="12" t="s">
        <v>25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e">
        <f t="shared" si="93"/>
        <v>#DIV/0!</v>
      </c>
      <c r="AA549" s="149"/>
      <c r="AB549" s="149"/>
      <c r="AC549" s="153"/>
      <c r="AD549" s="153"/>
      <c r="AE549" s="165"/>
      <c r="AF549" s="149"/>
      <c r="AG549" s="149"/>
      <c r="AH549" s="184"/>
    </row>
    <row r="550" spans="2:34" ht="35.1" customHeight="1" thickTop="1" thickBot="1" x14ac:dyDescent="0.25">
      <c r="B550" s="141"/>
      <c r="C550" s="141"/>
      <c r="D550" s="141"/>
      <c r="E550" s="141"/>
      <c r="F550" s="141"/>
      <c r="G550" s="141"/>
      <c r="H550" s="141"/>
      <c r="I550" s="158"/>
      <c r="J550" s="18" t="s">
        <v>30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e">
        <f t="shared" si="93"/>
        <v>#DIV/0!</v>
      </c>
      <c r="AA550" s="147" t="e">
        <f>AVERAGE(Z550,Z551,Z552,Z555)</f>
        <v>#DIV/0!</v>
      </c>
      <c r="AB550" s="150"/>
      <c r="AC550" s="151"/>
      <c r="AD550" s="151"/>
      <c r="AE550" s="163"/>
      <c r="AF550" s="150"/>
      <c r="AG550" s="150"/>
      <c r="AH550" s="182" t="e">
        <f t="shared" ref="AH550" si="99">(AC550)/AB550</f>
        <v>#DIV/0!</v>
      </c>
    </row>
    <row r="551" spans="2:34" ht="35.1" customHeight="1" thickTop="1" thickBot="1" x14ac:dyDescent="0.25">
      <c r="B551" s="142"/>
      <c r="C551" s="142"/>
      <c r="D551" s="142"/>
      <c r="E551" s="142"/>
      <c r="F551" s="142"/>
      <c r="G551" s="142"/>
      <c r="H551" s="142"/>
      <c r="I551" s="159"/>
      <c r="J551" s="18" t="s">
        <v>29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e">
        <f t="shared" si="93"/>
        <v>#DIV/0!</v>
      </c>
      <c r="AA551" s="148"/>
      <c r="AB551" s="148"/>
      <c r="AC551" s="152"/>
      <c r="AD551" s="152"/>
      <c r="AE551" s="164"/>
      <c r="AF551" s="148"/>
      <c r="AG551" s="148"/>
      <c r="AH551" s="183"/>
    </row>
    <row r="552" spans="2:34" ht="35.1" customHeight="1" thickTop="1" thickBot="1" x14ac:dyDescent="0.25">
      <c r="B552" s="142"/>
      <c r="C552" s="142"/>
      <c r="D552" s="142"/>
      <c r="E552" s="142"/>
      <c r="F552" s="142"/>
      <c r="G552" s="142"/>
      <c r="H552" s="142"/>
      <c r="I552" s="159"/>
      <c r="J552" s="18" t="s">
        <v>28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e">
        <f t="shared" si="93"/>
        <v>#DIV/0!</v>
      </c>
      <c r="AA552" s="148"/>
      <c r="AB552" s="148"/>
      <c r="AC552" s="152"/>
      <c r="AD552" s="152"/>
      <c r="AE552" s="164"/>
      <c r="AF552" s="148"/>
      <c r="AG552" s="148"/>
      <c r="AH552" s="183"/>
    </row>
    <row r="553" spans="2:34" ht="35.1" customHeight="1" thickTop="1" thickBot="1" x14ac:dyDescent="0.25">
      <c r="B553" s="142"/>
      <c r="C553" s="142"/>
      <c r="D553" s="142"/>
      <c r="E553" s="142"/>
      <c r="F553" s="142"/>
      <c r="G553" s="142"/>
      <c r="H553" s="142"/>
      <c r="I553" s="159"/>
      <c r="J553" s="18" t="s">
        <v>27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e">
        <f t="shared" si="93"/>
        <v>#DIV/0!</v>
      </c>
      <c r="AA553" s="148"/>
      <c r="AB553" s="148"/>
      <c r="AC553" s="152"/>
      <c r="AD553" s="152"/>
      <c r="AE553" s="164"/>
      <c r="AF553" s="148"/>
      <c r="AG553" s="148"/>
      <c r="AH553" s="183"/>
    </row>
    <row r="554" spans="2:34" ht="35.1" customHeight="1" thickTop="1" thickBot="1" x14ac:dyDescent="0.25">
      <c r="B554" s="142"/>
      <c r="C554" s="142"/>
      <c r="D554" s="142"/>
      <c r="E554" s="142"/>
      <c r="F554" s="142"/>
      <c r="G554" s="142"/>
      <c r="H554" s="142"/>
      <c r="I554" s="159"/>
      <c r="J554" s="18" t="s">
        <v>26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e">
        <f t="shared" si="93"/>
        <v>#DIV/0!</v>
      </c>
      <c r="AA554" s="148"/>
      <c r="AB554" s="148"/>
      <c r="AC554" s="152"/>
      <c r="AD554" s="152"/>
      <c r="AE554" s="164"/>
      <c r="AF554" s="148"/>
      <c r="AG554" s="148"/>
      <c r="AH554" s="183"/>
    </row>
    <row r="555" spans="2:34" ht="35.1" customHeight="1" thickTop="1" thickBot="1" x14ac:dyDescent="0.25">
      <c r="B555" s="143"/>
      <c r="C555" s="143"/>
      <c r="D555" s="143"/>
      <c r="E555" s="143"/>
      <c r="F555" s="143"/>
      <c r="G555" s="143"/>
      <c r="H555" s="143"/>
      <c r="I555" s="160"/>
      <c r="J555" s="12" t="s">
        <v>25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e">
        <f t="shared" si="93"/>
        <v>#DIV/0!</v>
      </c>
      <c r="AA555" s="149"/>
      <c r="AB555" s="149"/>
      <c r="AC555" s="153"/>
      <c r="AD555" s="153"/>
      <c r="AE555" s="165"/>
      <c r="AF555" s="149"/>
      <c r="AG555" s="149"/>
      <c r="AH555" s="184"/>
    </row>
    <row r="556" spans="2:34" ht="35.1" customHeight="1" thickTop="1" thickBot="1" x14ac:dyDescent="0.25">
      <c r="B556" s="141"/>
      <c r="C556" s="141"/>
      <c r="D556" s="141"/>
      <c r="E556" s="141"/>
      <c r="F556" s="141"/>
      <c r="G556" s="141"/>
      <c r="H556" s="141"/>
      <c r="I556" s="158"/>
      <c r="J556" s="18" t="s">
        <v>30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e">
        <f t="shared" si="93"/>
        <v>#DIV/0!</v>
      </c>
      <c r="AA556" s="147" t="e">
        <f>AVERAGE(Z556,Z557,Z558,Z561)</f>
        <v>#DIV/0!</v>
      </c>
      <c r="AB556" s="150"/>
      <c r="AC556" s="151"/>
      <c r="AD556" s="151"/>
      <c r="AE556" s="163"/>
      <c r="AF556" s="150"/>
      <c r="AG556" s="150"/>
      <c r="AH556" s="182" t="e">
        <f t="shared" ref="AH556" si="100">(AC556)/AB556</f>
        <v>#DIV/0!</v>
      </c>
    </row>
    <row r="557" spans="2:34" ht="35.1" customHeight="1" thickTop="1" thickBot="1" x14ac:dyDescent="0.25">
      <c r="B557" s="142"/>
      <c r="C557" s="142"/>
      <c r="D557" s="142"/>
      <c r="E557" s="142"/>
      <c r="F557" s="142"/>
      <c r="G557" s="142"/>
      <c r="H557" s="142"/>
      <c r="I557" s="159"/>
      <c r="J557" s="18" t="s">
        <v>29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e">
        <f t="shared" si="93"/>
        <v>#DIV/0!</v>
      </c>
      <c r="AA557" s="148"/>
      <c r="AB557" s="148"/>
      <c r="AC557" s="152"/>
      <c r="AD557" s="152"/>
      <c r="AE557" s="164"/>
      <c r="AF557" s="148"/>
      <c r="AG557" s="148"/>
      <c r="AH557" s="183"/>
    </row>
    <row r="558" spans="2:34" ht="35.1" customHeight="1" thickTop="1" thickBot="1" x14ac:dyDescent="0.25">
      <c r="B558" s="142"/>
      <c r="C558" s="142"/>
      <c r="D558" s="142"/>
      <c r="E558" s="142"/>
      <c r="F558" s="142"/>
      <c r="G558" s="142"/>
      <c r="H558" s="142"/>
      <c r="I558" s="159"/>
      <c r="J558" s="18" t="s">
        <v>28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e">
        <f t="shared" si="93"/>
        <v>#DIV/0!</v>
      </c>
      <c r="AA558" s="148"/>
      <c r="AB558" s="148"/>
      <c r="AC558" s="152"/>
      <c r="AD558" s="152"/>
      <c r="AE558" s="164"/>
      <c r="AF558" s="148"/>
      <c r="AG558" s="148"/>
      <c r="AH558" s="183"/>
    </row>
    <row r="559" spans="2:34" ht="35.1" customHeight="1" thickTop="1" thickBot="1" x14ac:dyDescent="0.25">
      <c r="B559" s="142"/>
      <c r="C559" s="142"/>
      <c r="D559" s="142"/>
      <c r="E559" s="142"/>
      <c r="F559" s="142"/>
      <c r="G559" s="142"/>
      <c r="H559" s="142"/>
      <c r="I559" s="159"/>
      <c r="J559" s="18" t="s">
        <v>27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e">
        <f t="shared" si="93"/>
        <v>#DIV/0!</v>
      </c>
      <c r="AA559" s="148"/>
      <c r="AB559" s="148"/>
      <c r="AC559" s="152"/>
      <c r="AD559" s="152"/>
      <c r="AE559" s="164"/>
      <c r="AF559" s="148"/>
      <c r="AG559" s="148"/>
      <c r="AH559" s="183"/>
    </row>
    <row r="560" spans="2:34" ht="35.1" customHeight="1" thickTop="1" thickBot="1" x14ac:dyDescent="0.25">
      <c r="B560" s="142"/>
      <c r="C560" s="142"/>
      <c r="D560" s="142"/>
      <c r="E560" s="142"/>
      <c r="F560" s="142"/>
      <c r="G560" s="142"/>
      <c r="H560" s="142"/>
      <c r="I560" s="159"/>
      <c r="J560" s="18" t="s">
        <v>26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e">
        <f t="shared" si="93"/>
        <v>#DIV/0!</v>
      </c>
      <c r="AA560" s="148"/>
      <c r="AB560" s="148"/>
      <c r="AC560" s="152"/>
      <c r="AD560" s="152"/>
      <c r="AE560" s="164"/>
      <c r="AF560" s="148"/>
      <c r="AG560" s="148"/>
      <c r="AH560" s="183"/>
    </row>
    <row r="561" spans="2:34" ht="35.1" customHeight="1" thickTop="1" thickBot="1" x14ac:dyDescent="0.25">
      <c r="B561" s="143"/>
      <c r="C561" s="143"/>
      <c r="D561" s="143"/>
      <c r="E561" s="143"/>
      <c r="F561" s="143"/>
      <c r="G561" s="143"/>
      <c r="H561" s="143"/>
      <c r="I561" s="160"/>
      <c r="J561" s="12" t="s">
        <v>25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e">
        <f t="shared" si="93"/>
        <v>#DIV/0!</v>
      </c>
      <c r="AA561" s="149"/>
      <c r="AB561" s="149"/>
      <c r="AC561" s="153"/>
      <c r="AD561" s="153"/>
      <c r="AE561" s="165"/>
      <c r="AF561" s="149"/>
      <c r="AG561" s="149"/>
      <c r="AH561" s="184"/>
    </row>
    <row r="562" spans="2:34" ht="35.1" customHeight="1" thickTop="1" thickBot="1" x14ac:dyDescent="0.25">
      <c r="B562" s="141"/>
      <c r="C562" s="141"/>
      <c r="D562" s="141"/>
      <c r="E562" s="141"/>
      <c r="F562" s="141"/>
      <c r="G562" s="141"/>
      <c r="H562" s="141"/>
      <c r="I562" s="158"/>
      <c r="J562" s="18" t="s">
        <v>30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e">
        <f t="shared" si="93"/>
        <v>#DIV/0!</v>
      </c>
      <c r="AA562" s="147" t="e">
        <f>AVERAGE(Z562,Z563,Z564,Z567)</f>
        <v>#DIV/0!</v>
      </c>
      <c r="AB562" s="150"/>
      <c r="AC562" s="151"/>
      <c r="AD562" s="151"/>
      <c r="AE562" s="163"/>
      <c r="AF562" s="150"/>
      <c r="AG562" s="150"/>
      <c r="AH562" s="182" t="e">
        <f t="shared" ref="AH562" si="101">(AC562)/AB562</f>
        <v>#DIV/0!</v>
      </c>
    </row>
    <row r="563" spans="2:34" ht="35.1" customHeight="1" thickTop="1" thickBot="1" x14ac:dyDescent="0.25">
      <c r="B563" s="142"/>
      <c r="C563" s="142"/>
      <c r="D563" s="142"/>
      <c r="E563" s="142"/>
      <c r="F563" s="142"/>
      <c r="G563" s="142"/>
      <c r="H563" s="142"/>
      <c r="I563" s="159"/>
      <c r="J563" s="18" t="s">
        <v>29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e">
        <f t="shared" si="93"/>
        <v>#DIV/0!</v>
      </c>
      <c r="AA563" s="148"/>
      <c r="AB563" s="148"/>
      <c r="AC563" s="152"/>
      <c r="AD563" s="152"/>
      <c r="AE563" s="164"/>
      <c r="AF563" s="148"/>
      <c r="AG563" s="148"/>
      <c r="AH563" s="183"/>
    </row>
    <row r="564" spans="2:34" ht="35.1" customHeight="1" thickTop="1" thickBot="1" x14ac:dyDescent="0.25">
      <c r="B564" s="142"/>
      <c r="C564" s="142"/>
      <c r="D564" s="142"/>
      <c r="E564" s="142"/>
      <c r="F564" s="142"/>
      <c r="G564" s="142"/>
      <c r="H564" s="142"/>
      <c r="I564" s="159"/>
      <c r="J564" s="18" t="s">
        <v>28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e">
        <f t="shared" si="93"/>
        <v>#DIV/0!</v>
      </c>
      <c r="AA564" s="148"/>
      <c r="AB564" s="148"/>
      <c r="AC564" s="152"/>
      <c r="AD564" s="152"/>
      <c r="AE564" s="164"/>
      <c r="AF564" s="148"/>
      <c r="AG564" s="148"/>
      <c r="AH564" s="183"/>
    </row>
    <row r="565" spans="2:34" ht="35.1" customHeight="1" thickTop="1" thickBot="1" x14ac:dyDescent="0.25">
      <c r="B565" s="142"/>
      <c r="C565" s="142"/>
      <c r="D565" s="142"/>
      <c r="E565" s="142"/>
      <c r="F565" s="142"/>
      <c r="G565" s="142"/>
      <c r="H565" s="142"/>
      <c r="I565" s="159"/>
      <c r="J565" s="18" t="s">
        <v>27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e">
        <f t="shared" si="93"/>
        <v>#DIV/0!</v>
      </c>
      <c r="AA565" s="148"/>
      <c r="AB565" s="148"/>
      <c r="AC565" s="152"/>
      <c r="AD565" s="152"/>
      <c r="AE565" s="164"/>
      <c r="AF565" s="148"/>
      <c r="AG565" s="148"/>
      <c r="AH565" s="183"/>
    </row>
    <row r="566" spans="2:34" ht="35.1" customHeight="1" thickTop="1" thickBot="1" x14ac:dyDescent="0.25">
      <c r="B566" s="142"/>
      <c r="C566" s="142"/>
      <c r="D566" s="142"/>
      <c r="E566" s="142"/>
      <c r="F566" s="142"/>
      <c r="G566" s="142"/>
      <c r="H566" s="142"/>
      <c r="I566" s="159"/>
      <c r="J566" s="18" t="s">
        <v>26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e">
        <f t="shared" si="93"/>
        <v>#DIV/0!</v>
      </c>
      <c r="AA566" s="148"/>
      <c r="AB566" s="148"/>
      <c r="AC566" s="152"/>
      <c r="AD566" s="152"/>
      <c r="AE566" s="164"/>
      <c r="AF566" s="148"/>
      <c r="AG566" s="148"/>
      <c r="AH566" s="183"/>
    </row>
    <row r="567" spans="2:34" ht="35.1" customHeight="1" thickTop="1" thickBot="1" x14ac:dyDescent="0.25">
      <c r="B567" s="143"/>
      <c r="C567" s="143"/>
      <c r="D567" s="143"/>
      <c r="E567" s="143"/>
      <c r="F567" s="143"/>
      <c r="G567" s="143"/>
      <c r="H567" s="143"/>
      <c r="I567" s="160"/>
      <c r="J567" s="12" t="s">
        <v>25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e">
        <f t="shared" si="93"/>
        <v>#DIV/0!</v>
      </c>
      <c r="AA567" s="149"/>
      <c r="AB567" s="149"/>
      <c r="AC567" s="153"/>
      <c r="AD567" s="153"/>
      <c r="AE567" s="165"/>
      <c r="AF567" s="149"/>
      <c r="AG567" s="149"/>
      <c r="AH567" s="184"/>
    </row>
    <row r="568" spans="2:34" ht="35.1" customHeight="1" thickTop="1" thickBot="1" x14ac:dyDescent="0.25">
      <c r="B568" s="141"/>
      <c r="C568" s="141"/>
      <c r="D568" s="141"/>
      <c r="E568" s="141"/>
      <c r="F568" s="141"/>
      <c r="G568" s="141"/>
      <c r="H568" s="141"/>
      <c r="I568" s="158"/>
      <c r="J568" s="18" t="s">
        <v>30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e">
        <f t="shared" si="93"/>
        <v>#DIV/0!</v>
      </c>
      <c r="AA568" s="147" t="e">
        <f>AVERAGE(Z568,Z569,Z570,Z573)</f>
        <v>#DIV/0!</v>
      </c>
      <c r="AB568" s="150"/>
      <c r="AC568" s="151"/>
      <c r="AD568" s="151"/>
      <c r="AE568" s="163"/>
      <c r="AF568" s="150"/>
      <c r="AG568" s="150"/>
      <c r="AH568" s="182" t="e">
        <f t="shared" ref="AH568" si="102">(AC568)/AB568</f>
        <v>#DIV/0!</v>
      </c>
    </row>
    <row r="569" spans="2:34" ht="35.1" customHeight="1" thickTop="1" thickBot="1" x14ac:dyDescent="0.25">
      <c r="B569" s="142"/>
      <c r="C569" s="142"/>
      <c r="D569" s="142"/>
      <c r="E569" s="142"/>
      <c r="F569" s="142"/>
      <c r="G569" s="142"/>
      <c r="H569" s="142"/>
      <c r="I569" s="159"/>
      <c r="J569" s="18" t="s">
        <v>29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e">
        <f t="shared" si="93"/>
        <v>#DIV/0!</v>
      </c>
      <c r="AA569" s="148"/>
      <c r="AB569" s="148"/>
      <c r="AC569" s="152"/>
      <c r="AD569" s="152"/>
      <c r="AE569" s="164"/>
      <c r="AF569" s="148"/>
      <c r="AG569" s="148"/>
      <c r="AH569" s="183"/>
    </row>
    <row r="570" spans="2:34" ht="35.1" customHeight="1" thickTop="1" thickBot="1" x14ac:dyDescent="0.25">
      <c r="B570" s="142"/>
      <c r="C570" s="142"/>
      <c r="D570" s="142"/>
      <c r="E570" s="142"/>
      <c r="F570" s="142"/>
      <c r="G570" s="142"/>
      <c r="H570" s="142"/>
      <c r="I570" s="159"/>
      <c r="J570" s="18" t="s">
        <v>28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e">
        <f t="shared" si="93"/>
        <v>#DIV/0!</v>
      </c>
      <c r="AA570" s="148"/>
      <c r="AB570" s="148"/>
      <c r="AC570" s="152"/>
      <c r="AD570" s="152"/>
      <c r="AE570" s="164"/>
      <c r="AF570" s="148"/>
      <c r="AG570" s="148"/>
      <c r="AH570" s="183"/>
    </row>
    <row r="571" spans="2:34" ht="35.1" customHeight="1" thickTop="1" thickBot="1" x14ac:dyDescent="0.25">
      <c r="B571" s="142"/>
      <c r="C571" s="142"/>
      <c r="D571" s="142"/>
      <c r="E571" s="142"/>
      <c r="F571" s="142"/>
      <c r="G571" s="142"/>
      <c r="H571" s="142"/>
      <c r="I571" s="159"/>
      <c r="J571" s="18" t="s">
        <v>27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e">
        <f t="shared" si="93"/>
        <v>#DIV/0!</v>
      </c>
      <c r="AA571" s="148"/>
      <c r="AB571" s="148"/>
      <c r="AC571" s="152"/>
      <c r="AD571" s="152"/>
      <c r="AE571" s="164"/>
      <c r="AF571" s="148"/>
      <c r="AG571" s="148"/>
      <c r="AH571" s="183"/>
    </row>
    <row r="572" spans="2:34" ht="35.1" customHeight="1" thickTop="1" thickBot="1" x14ac:dyDescent="0.25">
      <c r="B572" s="142"/>
      <c r="C572" s="142"/>
      <c r="D572" s="142"/>
      <c r="E572" s="142"/>
      <c r="F572" s="142"/>
      <c r="G572" s="142"/>
      <c r="H572" s="142"/>
      <c r="I572" s="159"/>
      <c r="J572" s="18" t="s">
        <v>26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e">
        <f t="shared" si="93"/>
        <v>#DIV/0!</v>
      </c>
      <c r="AA572" s="148"/>
      <c r="AB572" s="148"/>
      <c r="AC572" s="152"/>
      <c r="AD572" s="152"/>
      <c r="AE572" s="164"/>
      <c r="AF572" s="148"/>
      <c r="AG572" s="148"/>
      <c r="AH572" s="183"/>
    </row>
    <row r="573" spans="2:34" ht="35.1" customHeight="1" thickTop="1" thickBot="1" x14ac:dyDescent="0.25">
      <c r="B573" s="143"/>
      <c r="C573" s="143"/>
      <c r="D573" s="143"/>
      <c r="E573" s="143"/>
      <c r="F573" s="143"/>
      <c r="G573" s="143"/>
      <c r="H573" s="143"/>
      <c r="I573" s="160"/>
      <c r="J573" s="12" t="s">
        <v>25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e">
        <f t="shared" si="93"/>
        <v>#DIV/0!</v>
      </c>
      <c r="AA573" s="149"/>
      <c r="AB573" s="149"/>
      <c r="AC573" s="153"/>
      <c r="AD573" s="153"/>
      <c r="AE573" s="165"/>
      <c r="AF573" s="149"/>
      <c r="AG573" s="149"/>
      <c r="AH573" s="184"/>
    </row>
    <row r="574" spans="2:34" ht="35.1" customHeight="1" thickTop="1" thickBot="1" x14ac:dyDescent="0.25">
      <c r="B574" s="141"/>
      <c r="C574" s="141"/>
      <c r="D574" s="141"/>
      <c r="E574" s="141"/>
      <c r="F574" s="141"/>
      <c r="G574" s="141"/>
      <c r="H574" s="141"/>
      <c r="I574" s="158"/>
      <c r="J574" s="18" t="s">
        <v>30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e">
        <f t="shared" si="93"/>
        <v>#DIV/0!</v>
      </c>
      <c r="AA574" s="147" t="e">
        <f>AVERAGE(Z574,Z575,Z576,Z579)</f>
        <v>#DIV/0!</v>
      </c>
      <c r="AB574" s="150"/>
      <c r="AC574" s="151"/>
      <c r="AD574" s="151"/>
      <c r="AE574" s="163"/>
      <c r="AF574" s="150"/>
      <c r="AG574" s="150"/>
      <c r="AH574" s="182" t="e">
        <f t="shared" ref="AH574" si="103">(AC574)/AB574</f>
        <v>#DIV/0!</v>
      </c>
    </row>
    <row r="575" spans="2:34" ht="35.1" customHeight="1" thickTop="1" thickBot="1" x14ac:dyDescent="0.25">
      <c r="B575" s="142"/>
      <c r="C575" s="142"/>
      <c r="D575" s="142"/>
      <c r="E575" s="142"/>
      <c r="F575" s="142"/>
      <c r="G575" s="142"/>
      <c r="H575" s="142"/>
      <c r="I575" s="159"/>
      <c r="J575" s="18" t="s">
        <v>29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e">
        <f t="shared" si="93"/>
        <v>#DIV/0!</v>
      </c>
      <c r="AA575" s="148"/>
      <c r="AB575" s="148"/>
      <c r="AC575" s="152"/>
      <c r="AD575" s="152"/>
      <c r="AE575" s="164"/>
      <c r="AF575" s="148"/>
      <c r="AG575" s="148"/>
      <c r="AH575" s="183"/>
    </row>
    <row r="576" spans="2:34" ht="35.1" customHeight="1" thickTop="1" thickBot="1" x14ac:dyDescent="0.25">
      <c r="B576" s="142"/>
      <c r="C576" s="142"/>
      <c r="D576" s="142"/>
      <c r="E576" s="142"/>
      <c r="F576" s="142"/>
      <c r="G576" s="142"/>
      <c r="H576" s="142"/>
      <c r="I576" s="159"/>
      <c r="J576" s="18" t="s">
        <v>28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e">
        <f t="shared" si="93"/>
        <v>#DIV/0!</v>
      </c>
      <c r="AA576" s="148"/>
      <c r="AB576" s="148"/>
      <c r="AC576" s="152"/>
      <c r="AD576" s="152"/>
      <c r="AE576" s="164"/>
      <c r="AF576" s="148"/>
      <c r="AG576" s="148"/>
      <c r="AH576" s="183"/>
    </row>
    <row r="577" spans="2:34" ht="35.1" customHeight="1" thickTop="1" thickBot="1" x14ac:dyDescent="0.25">
      <c r="B577" s="142"/>
      <c r="C577" s="142"/>
      <c r="D577" s="142"/>
      <c r="E577" s="142"/>
      <c r="F577" s="142"/>
      <c r="G577" s="142"/>
      <c r="H577" s="142"/>
      <c r="I577" s="159"/>
      <c r="J577" s="18" t="s">
        <v>27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e">
        <f t="shared" si="93"/>
        <v>#DIV/0!</v>
      </c>
      <c r="AA577" s="148"/>
      <c r="AB577" s="148"/>
      <c r="AC577" s="152"/>
      <c r="AD577" s="152"/>
      <c r="AE577" s="164"/>
      <c r="AF577" s="148"/>
      <c r="AG577" s="148"/>
      <c r="AH577" s="183"/>
    </row>
    <row r="578" spans="2:34" ht="35.1" customHeight="1" thickTop="1" thickBot="1" x14ac:dyDescent="0.25">
      <c r="B578" s="142"/>
      <c r="C578" s="142"/>
      <c r="D578" s="142"/>
      <c r="E578" s="142"/>
      <c r="F578" s="142"/>
      <c r="G578" s="142"/>
      <c r="H578" s="142"/>
      <c r="I578" s="159"/>
      <c r="J578" s="18" t="s">
        <v>26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e">
        <f t="shared" si="93"/>
        <v>#DIV/0!</v>
      </c>
      <c r="AA578" s="148"/>
      <c r="AB578" s="148"/>
      <c r="AC578" s="152"/>
      <c r="AD578" s="152"/>
      <c r="AE578" s="164"/>
      <c r="AF578" s="148"/>
      <c r="AG578" s="148"/>
      <c r="AH578" s="183"/>
    </row>
    <row r="579" spans="2:34" ht="35.1" customHeight="1" thickTop="1" thickBot="1" x14ac:dyDescent="0.25">
      <c r="B579" s="143"/>
      <c r="C579" s="143"/>
      <c r="D579" s="143"/>
      <c r="E579" s="143"/>
      <c r="F579" s="143"/>
      <c r="G579" s="143"/>
      <c r="H579" s="143"/>
      <c r="I579" s="160"/>
      <c r="J579" s="12" t="s">
        <v>25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e">
        <f t="shared" si="93"/>
        <v>#DIV/0!</v>
      </c>
      <c r="AA579" s="149"/>
      <c r="AB579" s="149"/>
      <c r="AC579" s="153"/>
      <c r="AD579" s="153"/>
      <c r="AE579" s="165"/>
      <c r="AF579" s="149"/>
      <c r="AG579" s="149"/>
      <c r="AH579" s="184"/>
    </row>
    <row r="580" spans="2:34" ht="35.1" customHeight="1" thickTop="1" thickBot="1" x14ac:dyDescent="0.25">
      <c r="B580" s="141"/>
      <c r="C580" s="141"/>
      <c r="D580" s="141"/>
      <c r="E580" s="141"/>
      <c r="F580" s="141"/>
      <c r="G580" s="141"/>
      <c r="H580" s="141"/>
      <c r="I580" s="158"/>
      <c r="J580" s="18" t="s">
        <v>30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e">
        <f t="shared" ref="Z580:Z643" si="104">(L580)/K580</f>
        <v>#DIV/0!</v>
      </c>
      <c r="AA580" s="147" t="e">
        <f>AVERAGE(Z580,Z581,Z582,Z585)</f>
        <v>#DIV/0!</v>
      </c>
      <c r="AB580" s="150"/>
      <c r="AC580" s="151"/>
      <c r="AD580" s="151"/>
      <c r="AE580" s="163"/>
      <c r="AF580" s="150"/>
      <c r="AG580" s="150"/>
      <c r="AH580" s="182" t="e">
        <f t="shared" ref="AH580" si="105">(AC580)/AB580</f>
        <v>#DIV/0!</v>
      </c>
    </row>
    <row r="581" spans="2:34" ht="35.1" customHeight="1" thickTop="1" thickBot="1" x14ac:dyDescent="0.25">
      <c r="B581" s="142"/>
      <c r="C581" s="142"/>
      <c r="D581" s="142"/>
      <c r="E581" s="142"/>
      <c r="F581" s="142"/>
      <c r="G581" s="142"/>
      <c r="H581" s="142"/>
      <c r="I581" s="159"/>
      <c r="J581" s="18" t="s">
        <v>29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e">
        <f t="shared" si="104"/>
        <v>#DIV/0!</v>
      </c>
      <c r="AA581" s="148"/>
      <c r="AB581" s="148"/>
      <c r="AC581" s="152"/>
      <c r="AD581" s="152"/>
      <c r="AE581" s="164"/>
      <c r="AF581" s="148"/>
      <c r="AG581" s="148"/>
      <c r="AH581" s="183"/>
    </row>
    <row r="582" spans="2:34" ht="35.1" customHeight="1" thickTop="1" thickBot="1" x14ac:dyDescent="0.25">
      <c r="B582" s="142"/>
      <c r="C582" s="142"/>
      <c r="D582" s="142"/>
      <c r="E582" s="142"/>
      <c r="F582" s="142"/>
      <c r="G582" s="142"/>
      <c r="H582" s="142"/>
      <c r="I582" s="159"/>
      <c r="J582" s="18" t="s">
        <v>28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e">
        <f t="shared" si="104"/>
        <v>#DIV/0!</v>
      </c>
      <c r="AA582" s="148"/>
      <c r="AB582" s="148"/>
      <c r="AC582" s="152"/>
      <c r="AD582" s="152"/>
      <c r="AE582" s="164"/>
      <c r="AF582" s="148"/>
      <c r="AG582" s="148"/>
      <c r="AH582" s="183"/>
    </row>
    <row r="583" spans="2:34" ht="35.1" customHeight="1" thickTop="1" thickBot="1" x14ac:dyDescent="0.25">
      <c r="B583" s="142"/>
      <c r="C583" s="142"/>
      <c r="D583" s="142"/>
      <c r="E583" s="142"/>
      <c r="F583" s="142"/>
      <c r="G583" s="142"/>
      <c r="H583" s="142"/>
      <c r="I583" s="159"/>
      <c r="J583" s="18" t="s">
        <v>27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e">
        <f t="shared" si="104"/>
        <v>#DIV/0!</v>
      </c>
      <c r="AA583" s="148"/>
      <c r="AB583" s="148"/>
      <c r="AC583" s="152"/>
      <c r="AD583" s="152"/>
      <c r="AE583" s="164"/>
      <c r="AF583" s="148"/>
      <c r="AG583" s="148"/>
      <c r="AH583" s="183"/>
    </row>
    <row r="584" spans="2:34" ht="35.1" customHeight="1" thickTop="1" thickBot="1" x14ac:dyDescent="0.25">
      <c r="B584" s="142"/>
      <c r="C584" s="142"/>
      <c r="D584" s="142"/>
      <c r="E584" s="142"/>
      <c r="F584" s="142"/>
      <c r="G584" s="142"/>
      <c r="H584" s="142"/>
      <c r="I584" s="159"/>
      <c r="J584" s="18" t="s">
        <v>26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e">
        <f t="shared" si="104"/>
        <v>#DIV/0!</v>
      </c>
      <c r="AA584" s="148"/>
      <c r="AB584" s="148"/>
      <c r="AC584" s="152"/>
      <c r="AD584" s="152"/>
      <c r="AE584" s="164"/>
      <c r="AF584" s="148"/>
      <c r="AG584" s="148"/>
      <c r="AH584" s="183"/>
    </row>
    <row r="585" spans="2:34" ht="35.1" customHeight="1" thickTop="1" thickBot="1" x14ac:dyDescent="0.25">
      <c r="B585" s="143"/>
      <c r="C585" s="143"/>
      <c r="D585" s="143"/>
      <c r="E585" s="143"/>
      <c r="F585" s="143"/>
      <c r="G585" s="143"/>
      <c r="H585" s="143"/>
      <c r="I585" s="160"/>
      <c r="J585" s="12" t="s">
        <v>25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e">
        <f t="shared" si="104"/>
        <v>#DIV/0!</v>
      </c>
      <c r="AA585" s="149"/>
      <c r="AB585" s="149"/>
      <c r="AC585" s="153"/>
      <c r="AD585" s="153"/>
      <c r="AE585" s="165"/>
      <c r="AF585" s="149"/>
      <c r="AG585" s="149"/>
      <c r="AH585" s="184"/>
    </row>
    <row r="586" spans="2:34" ht="35.1" customHeight="1" thickTop="1" thickBot="1" x14ac:dyDescent="0.25">
      <c r="B586" s="141"/>
      <c r="C586" s="141"/>
      <c r="D586" s="141"/>
      <c r="E586" s="141"/>
      <c r="F586" s="141"/>
      <c r="G586" s="141"/>
      <c r="H586" s="141"/>
      <c r="I586" s="158"/>
      <c r="J586" s="18" t="s">
        <v>30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e">
        <f t="shared" si="104"/>
        <v>#DIV/0!</v>
      </c>
      <c r="AA586" s="147" t="e">
        <f>AVERAGE(Z586,Z587,Z588,Z591)</f>
        <v>#DIV/0!</v>
      </c>
      <c r="AB586" s="150"/>
      <c r="AC586" s="151"/>
      <c r="AD586" s="151"/>
      <c r="AE586" s="163"/>
      <c r="AF586" s="150"/>
      <c r="AG586" s="150"/>
      <c r="AH586" s="182" t="e">
        <f t="shared" ref="AH586" si="106">(AC586)/AB586</f>
        <v>#DIV/0!</v>
      </c>
    </row>
    <row r="587" spans="2:34" ht="35.1" customHeight="1" thickTop="1" thickBot="1" x14ac:dyDescent="0.25">
      <c r="B587" s="142"/>
      <c r="C587" s="142"/>
      <c r="D587" s="142"/>
      <c r="E587" s="142"/>
      <c r="F587" s="142"/>
      <c r="G587" s="142"/>
      <c r="H587" s="142"/>
      <c r="I587" s="159"/>
      <c r="J587" s="18" t="s">
        <v>29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e">
        <f t="shared" si="104"/>
        <v>#DIV/0!</v>
      </c>
      <c r="AA587" s="148"/>
      <c r="AB587" s="148"/>
      <c r="AC587" s="152"/>
      <c r="AD587" s="152"/>
      <c r="AE587" s="164"/>
      <c r="AF587" s="148"/>
      <c r="AG587" s="148"/>
      <c r="AH587" s="183"/>
    </row>
    <row r="588" spans="2:34" ht="35.1" customHeight="1" thickTop="1" thickBot="1" x14ac:dyDescent="0.25">
      <c r="B588" s="142"/>
      <c r="C588" s="142"/>
      <c r="D588" s="142"/>
      <c r="E588" s="142"/>
      <c r="F588" s="142"/>
      <c r="G588" s="142"/>
      <c r="H588" s="142"/>
      <c r="I588" s="159"/>
      <c r="J588" s="18" t="s">
        <v>28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e">
        <f t="shared" si="104"/>
        <v>#DIV/0!</v>
      </c>
      <c r="AA588" s="148"/>
      <c r="AB588" s="148"/>
      <c r="AC588" s="152"/>
      <c r="AD588" s="152"/>
      <c r="AE588" s="164"/>
      <c r="AF588" s="148"/>
      <c r="AG588" s="148"/>
      <c r="AH588" s="183"/>
    </row>
    <row r="589" spans="2:34" ht="35.1" customHeight="1" thickTop="1" thickBot="1" x14ac:dyDescent="0.25">
      <c r="B589" s="142"/>
      <c r="C589" s="142"/>
      <c r="D589" s="142"/>
      <c r="E589" s="142"/>
      <c r="F589" s="142"/>
      <c r="G589" s="142"/>
      <c r="H589" s="142"/>
      <c r="I589" s="159"/>
      <c r="J589" s="18" t="s">
        <v>27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e">
        <f t="shared" si="104"/>
        <v>#DIV/0!</v>
      </c>
      <c r="AA589" s="148"/>
      <c r="AB589" s="148"/>
      <c r="AC589" s="152"/>
      <c r="AD589" s="152"/>
      <c r="AE589" s="164"/>
      <c r="AF589" s="148"/>
      <c r="AG589" s="148"/>
      <c r="AH589" s="183"/>
    </row>
    <row r="590" spans="2:34" ht="35.1" customHeight="1" thickTop="1" thickBot="1" x14ac:dyDescent="0.25">
      <c r="B590" s="142"/>
      <c r="C590" s="142"/>
      <c r="D590" s="142"/>
      <c r="E590" s="142"/>
      <c r="F590" s="142"/>
      <c r="G590" s="142"/>
      <c r="H590" s="142"/>
      <c r="I590" s="159"/>
      <c r="J590" s="18" t="s">
        <v>26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e">
        <f t="shared" si="104"/>
        <v>#DIV/0!</v>
      </c>
      <c r="AA590" s="148"/>
      <c r="AB590" s="148"/>
      <c r="AC590" s="152"/>
      <c r="AD590" s="152"/>
      <c r="AE590" s="164"/>
      <c r="AF590" s="148"/>
      <c r="AG590" s="148"/>
      <c r="AH590" s="183"/>
    </row>
    <row r="591" spans="2:34" ht="35.1" customHeight="1" thickTop="1" thickBot="1" x14ac:dyDescent="0.25">
      <c r="B591" s="143"/>
      <c r="C591" s="143"/>
      <c r="D591" s="143"/>
      <c r="E591" s="143"/>
      <c r="F591" s="143"/>
      <c r="G591" s="143"/>
      <c r="H591" s="143"/>
      <c r="I591" s="160"/>
      <c r="J591" s="12" t="s">
        <v>25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e">
        <f t="shared" si="104"/>
        <v>#DIV/0!</v>
      </c>
      <c r="AA591" s="149"/>
      <c r="AB591" s="149"/>
      <c r="AC591" s="153"/>
      <c r="AD591" s="153"/>
      <c r="AE591" s="165"/>
      <c r="AF591" s="149"/>
      <c r="AG591" s="149"/>
      <c r="AH591" s="184"/>
    </row>
    <row r="592" spans="2:34" ht="35.1" customHeight="1" thickTop="1" thickBot="1" x14ac:dyDescent="0.25">
      <c r="B592" s="141"/>
      <c r="C592" s="141"/>
      <c r="D592" s="141"/>
      <c r="E592" s="141"/>
      <c r="F592" s="141"/>
      <c r="G592" s="141"/>
      <c r="H592" s="141"/>
      <c r="I592" s="158"/>
      <c r="J592" s="18" t="s">
        <v>30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e">
        <f t="shared" si="104"/>
        <v>#DIV/0!</v>
      </c>
      <c r="AA592" s="147" t="e">
        <f>AVERAGE(Z592,Z593,Z594,Z597)</f>
        <v>#DIV/0!</v>
      </c>
      <c r="AB592" s="150"/>
      <c r="AC592" s="151"/>
      <c r="AD592" s="151"/>
      <c r="AE592" s="163"/>
      <c r="AF592" s="150"/>
      <c r="AG592" s="150"/>
      <c r="AH592" s="182" t="e">
        <f t="shared" ref="AH592" si="107">(AC592)/AB592</f>
        <v>#DIV/0!</v>
      </c>
    </row>
    <row r="593" spans="2:34" ht="35.1" customHeight="1" thickTop="1" thickBot="1" x14ac:dyDescent="0.25">
      <c r="B593" s="142"/>
      <c r="C593" s="142"/>
      <c r="D593" s="142"/>
      <c r="E593" s="142"/>
      <c r="F593" s="142"/>
      <c r="G593" s="142"/>
      <c r="H593" s="142"/>
      <c r="I593" s="159"/>
      <c r="J593" s="18" t="s">
        <v>29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e">
        <f t="shared" si="104"/>
        <v>#DIV/0!</v>
      </c>
      <c r="AA593" s="148"/>
      <c r="AB593" s="148"/>
      <c r="AC593" s="152"/>
      <c r="AD593" s="152"/>
      <c r="AE593" s="164"/>
      <c r="AF593" s="148"/>
      <c r="AG593" s="148"/>
      <c r="AH593" s="183"/>
    </row>
    <row r="594" spans="2:34" ht="35.1" customHeight="1" thickTop="1" thickBot="1" x14ac:dyDescent="0.25">
      <c r="B594" s="142"/>
      <c r="C594" s="142"/>
      <c r="D594" s="142"/>
      <c r="E594" s="142"/>
      <c r="F594" s="142"/>
      <c r="G594" s="142"/>
      <c r="H594" s="142"/>
      <c r="I594" s="159"/>
      <c r="J594" s="18" t="s">
        <v>28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e">
        <f t="shared" si="104"/>
        <v>#DIV/0!</v>
      </c>
      <c r="AA594" s="148"/>
      <c r="AB594" s="148"/>
      <c r="AC594" s="152"/>
      <c r="AD594" s="152"/>
      <c r="AE594" s="164"/>
      <c r="AF594" s="148"/>
      <c r="AG594" s="148"/>
      <c r="AH594" s="183"/>
    </row>
    <row r="595" spans="2:34" ht="35.1" customHeight="1" thickTop="1" thickBot="1" x14ac:dyDescent="0.25">
      <c r="B595" s="142"/>
      <c r="C595" s="142"/>
      <c r="D595" s="142"/>
      <c r="E595" s="142"/>
      <c r="F595" s="142"/>
      <c r="G595" s="142"/>
      <c r="H595" s="142"/>
      <c r="I595" s="159"/>
      <c r="J595" s="18" t="s">
        <v>27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e">
        <f t="shared" si="104"/>
        <v>#DIV/0!</v>
      </c>
      <c r="AA595" s="148"/>
      <c r="AB595" s="148"/>
      <c r="AC595" s="152"/>
      <c r="AD595" s="152"/>
      <c r="AE595" s="164"/>
      <c r="AF595" s="148"/>
      <c r="AG595" s="148"/>
      <c r="AH595" s="183"/>
    </row>
    <row r="596" spans="2:34" ht="35.1" customHeight="1" thickTop="1" thickBot="1" x14ac:dyDescent="0.25">
      <c r="B596" s="142"/>
      <c r="C596" s="142"/>
      <c r="D596" s="142"/>
      <c r="E596" s="142"/>
      <c r="F596" s="142"/>
      <c r="G596" s="142"/>
      <c r="H596" s="142"/>
      <c r="I596" s="159"/>
      <c r="J596" s="18" t="s">
        <v>26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e">
        <f t="shared" si="104"/>
        <v>#DIV/0!</v>
      </c>
      <c r="AA596" s="148"/>
      <c r="AB596" s="148"/>
      <c r="AC596" s="152"/>
      <c r="AD596" s="152"/>
      <c r="AE596" s="164"/>
      <c r="AF596" s="148"/>
      <c r="AG596" s="148"/>
      <c r="AH596" s="183"/>
    </row>
    <row r="597" spans="2:34" ht="35.1" customHeight="1" thickTop="1" thickBot="1" x14ac:dyDescent="0.25">
      <c r="B597" s="143"/>
      <c r="C597" s="143"/>
      <c r="D597" s="143"/>
      <c r="E597" s="143"/>
      <c r="F597" s="143"/>
      <c r="G597" s="143"/>
      <c r="H597" s="143"/>
      <c r="I597" s="160"/>
      <c r="J597" s="12" t="s">
        <v>25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e">
        <f t="shared" si="104"/>
        <v>#DIV/0!</v>
      </c>
      <c r="AA597" s="149"/>
      <c r="AB597" s="149"/>
      <c r="AC597" s="153"/>
      <c r="AD597" s="153"/>
      <c r="AE597" s="165"/>
      <c r="AF597" s="149"/>
      <c r="AG597" s="149"/>
      <c r="AH597" s="184"/>
    </row>
    <row r="598" spans="2:34" ht="35.1" customHeight="1" thickTop="1" thickBot="1" x14ac:dyDescent="0.25">
      <c r="B598" s="141"/>
      <c r="C598" s="141"/>
      <c r="D598" s="141"/>
      <c r="E598" s="141"/>
      <c r="F598" s="141"/>
      <c r="G598" s="141"/>
      <c r="H598" s="141"/>
      <c r="I598" s="158"/>
      <c r="J598" s="18" t="s">
        <v>30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e">
        <f t="shared" si="104"/>
        <v>#DIV/0!</v>
      </c>
      <c r="AA598" s="147" t="e">
        <f>AVERAGE(Z598,Z599,Z600,Z603)</f>
        <v>#DIV/0!</v>
      </c>
      <c r="AB598" s="150"/>
      <c r="AC598" s="151"/>
      <c r="AD598" s="151"/>
      <c r="AE598" s="163"/>
      <c r="AF598" s="150"/>
      <c r="AG598" s="150"/>
      <c r="AH598" s="182" t="e">
        <f t="shared" ref="AH598" si="108">(AC598)/AB598</f>
        <v>#DIV/0!</v>
      </c>
    </row>
    <row r="599" spans="2:34" ht="35.1" customHeight="1" thickTop="1" thickBot="1" x14ac:dyDescent="0.25">
      <c r="B599" s="142"/>
      <c r="C599" s="142"/>
      <c r="D599" s="142"/>
      <c r="E599" s="142"/>
      <c r="F599" s="142"/>
      <c r="G599" s="142"/>
      <c r="H599" s="142"/>
      <c r="I599" s="159"/>
      <c r="J599" s="18" t="s">
        <v>29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e">
        <f t="shared" si="104"/>
        <v>#DIV/0!</v>
      </c>
      <c r="AA599" s="148"/>
      <c r="AB599" s="148"/>
      <c r="AC599" s="152"/>
      <c r="AD599" s="152"/>
      <c r="AE599" s="164"/>
      <c r="AF599" s="148"/>
      <c r="AG599" s="148"/>
      <c r="AH599" s="183"/>
    </row>
    <row r="600" spans="2:34" ht="35.1" customHeight="1" thickTop="1" thickBot="1" x14ac:dyDescent="0.25">
      <c r="B600" s="142"/>
      <c r="C600" s="142"/>
      <c r="D600" s="142"/>
      <c r="E600" s="142"/>
      <c r="F600" s="142"/>
      <c r="G600" s="142"/>
      <c r="H600" s="142"/>
      <c r="I600" s="159"/>
      <c r="J600" s="18" t="s">
        <v>28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e">
        <f t="shared" si="104"/>
        <v>#DIV/0!</v>
      </c>
      <c r="AA600" s="148"/>
      <c r="AB600" s="148"/>
      <c r="AC600" s="152"/>
      <c r="AD600" s="152"/>
      <c r="AE600" s="164"/>
      <c r="AF600" s="148"/>
      <c r="AG600" s="148"/>
      <c r="AH600" s="183"/>
    </row>
    <row r="601" spans="2:34" ht="35.1" customHeight="1" thickTop="1" thickBot="1" x14ac:dyDescent="0.25">
      <c r="B601" s="142"/>
      <c r="C601" s="142"/>
      <c r="D601" s="142"/>
      <c r="E601" s="142"/>
      <c r="F601" s="142"/>
      <c r="G601" s="142"/>
      <c r="H601" s="142"/>
      <c r="I601" s="159"/>
      <c r="J601" s="18" t="s">
        <v>27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e">
        <f t="shared" si="104"/>
        <v>#DIV/0!</v>
      </c>
      <c r="AA601" s="148"/>
      <c r="AB601" s="148"/>
      <c r="AC601" s="152"/>
      <c r="AD601" s="152"/>
      <c r="AE601" s="164"/>
      <c r="AF601" s="148"/>
      <c r="AG601" s="148"/>
      <c r="AH601" s="183"/>
    </row>
    <row r="602" spans="2:34" ht="35.1" customHeight="1" thickTop="1" thickBot="1" x14ac:dyDescent="0.25">
      <c r="B602" s="142"/>
      <c r="C602" s="142"/>
      <c r="D602" s="142"/>
      <c r="E602" s="142"/>
      <c r="F602" s="142"/>
      <c r="G602" s="142"/>
      <c r="H602" s="142"/>
      <c r="I602" s="159"/>
      <c r="J602" s="18" t="s">
        <v>26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e">
        <f t="shared" si="104"/>
        <v>#DIV/0!</v>
      </c>
      <c r="AA602" s="148"/>
      <c r="AB602" s="148"/>
      <c r="AC602" s="152"/>
      <c r="AD602" s="152"/>
      <c r="AE602" s="164"/>
      <c r="AF602" s="148"/>
      <c r="AG602" s="148"/>
      <c r="AH602" s="183"/>
    </row>
    <row r="603" spans="2:34" ht="35.1" customHeight="1" thickTop="1" thickBot="1" x14ac:dyDescent="0.25">
      <c r="B603" s="143"/>
      <c r="C603" s="143"/>
      <c r="D603" s="143"/>
      <c r="E603" s="143"/>
      <c r="F603" s="143"/>
      <c r="G603" s="143"/>
      <c r="H603" s="143"/>
      <c r="I603" s="160"/>
      <c r="J603" s="12" t="s">
        <v>25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e">
        <f t="shared" si="104"/>
        <v>#DIV/0!</v>
      </c>
      <c r="AA603" s="149"/>
      <c r="AB603" s="149"/>
      <c r="AC603" s="153"/>
      <c r="AD603" s="153"/>
      <c r="AE603" s="165"/>
      <c r="AF603" s="149"/>
      <c r="AG603" s="149"/>
      <c r="AH603" s="184"/>
    </row>
    <row r="604" spans="2:34" ht="35.1" customHeight="1" thickTop="1" thickBot="1" x14ac:dyDescent="0.25">
      <c r="B604" s="141"/>
      <c r="C604" s="141"/>
      <c r="D604" s="141"/>
      <c r="E604" s="141"/>
      <c r="F604" s="141"/>
      <c r="G604" s="141"/>
      <c r="H604" s="141"/>
      <c r="I604" s="158"/>
      <c r="J604" s="18" t="s">
        <v>30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e">
        <f t="shared" si="104"/>
        <v>#DIV/0!</v>
      </c>
      <c r="AA604" s="147" t="e">
        <f>AVERAGE(Z604,Z605,Z606,Z609)</f>
        <v>#DIV/0!</v>
      </c>
      <c r="AB604" s="150"/>
      <c r="AC604" s="151"/>
      <c r="AD604" s="151"/>
      <c r="AE604" s="163"/>
      <c r="AF604" s="150"/>
      <c r="AG604" s="150"/>
      <c r="AH604" s="182" t="e">
        <f t="shared" ref="AH604" si="109">(AC604)/AB604</f>
        <v>#DIV/0!</v>
      </c>
    </row>
    <row r="605" spans="2:34" ht="35.1" customHeight="1" thickTop="1" thickBot="1" x14ac:dyDescent="0.25">
      <c r="B605" s="142"/>
      <c r="C605" s="142"/>
      <c r="D605" s="142"/>
      <c r="E605" s="142"/>
      <c r="F605" s="142"/>
      <c r="G605" s="142"/>
      <c r="H605" s="142"/>
      <c r="I605" s="159"/>
      <c r="J605" s="18" t="s">
        <v>29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e">
        <f t="shared" si="104"/>
        <v>#DIV/0!</v>
      </c>
      <c r="AA605" s="148"/>
      <c r="AB605" s="148"/>
      <c r="AC605" s="152"/>
      <c r="AD605" s="152"/>
      <c r="AE605" s="164"/>
      <c r="AF605" s="148"/>
      <c r="AG605" s="148"/>
      <c r="AH605" s="183"/>
    </row>
    <row r="606" spans="2:34" ht="35.1" customHeight="1" thickTop="1" thickBot="1" x14ac:dyDescent="0.25">
      <c r="B606" s="142"/>
      <c r="C606" s="142"/>
      <c r="D606" s="142"/>
      <c r="E606" s="142"/>
      <c r="F606" s="142"/>
      <c r="G606" s="142"/>
      <c r="H606" s="142"/>
      <c r="I606" s="159"/>
      <c r="J606" s="18" t="s">
        <v>28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e">
        <f t="shared" si="104"/>
        <v>#DIV/0!</v>
      </c>
      <c r="AA606" s="148"/>
      <c r="AB606" s="148"/>
      <c r="AC606" s="152"/>
      <c r="AD606" s="152"/>
      <c r="AE606" s="164"/>
      <c r="AF606" s="148"/>
      <c r="AG606" s="148"/>
      <c r="AH606" s="183"/>
    </row>
    <row r="607" spans="2:34" ht="35.1" customHeight="1" thickTop="1" thickBot="1" x14ac:dyDescent="0.25">
      <c r="B607" s="142"/>
      <c r="C607" s="142"/>
      <c r="D607" s="142"/>
      <c r="E607" s="142"/>
      <c r="F607" s="142"/>
      <c r="G607" s="142"/>
      <c r="H607" s="142"/>
      <c r="I607" s="159"/>
      <c r="J607" s="18" t="s">
        <v>27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e">
        <f t="shared" si="104"/>
        <v>#DIV/0!</v>
      </c>
      <c r="AA607" s="148"/>
      <c r="AB607" s="148"/>
      <c r="AC607" s="152"/>
      <c r="AD607" s="152"/>
      <c r="AE607" s="164"/>
      <c r="AF607" s="148"/>
      <c r="AG607" s="148"/>
      <c r="AH607" s="183"/>
    </row>
    <row r="608" spans="2:34" ht="35.1" customHeight="1" thickTop="1" thickBot="1" x14ac:dyDescent="0.25">
      <c r="B608" s="142"/>
      <c r="C608" s="142"/>
      <c r="D608" s="142"/>
      <c r="E608" s="142"/>
      <c r="F608" s="142"/>
      <c r="G608" s="142"/>
      <c r="H608" s="142"/>
      <c r="I608" s="159"/>
      <c r="J608" s="18" t="s">
        <v>26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e">
        <f t="shared" si="104"/>
        <v>#DIV/0!</v>
      </c>
      <c r="AA608" s="148"/>
      <c r="AB608" s="148"/>
      <c r="AC608" s="152"/>
      <c r="AD608" s="152"/>
      <c r="AE608" s="164"/>
      <c r="AF608" s="148"/>
      <c r="AG608" s="148"/>
      <c r="AH608" s="183"/>
    </row>
    <row r="609" spans="2:34" ht="35.1" customHeight="1" thickTop="1" thickBot="1" x14ac:dyDescent="0.25">
      <c r="B609" s="143"/>
      <c r="C609" s="143"/>
      <c r="D609" s="143"/>
      <c r="E609" s="143"/>
      <c r="F609" s="143"/>
      <c r="G609" s="143"/>
      <c r="H609" s="143"/>
      <c r="I609" s="160"/>
      <c r="J609" s="12" t="s">
        <v>25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e">
        <f t="shared" si="104"/>
        <v>#DIV/0!</v>
      </c>
      <c r="AA609" s="149"/>
      <c r="AB609" s="149"/>
      <c r="AC609" s="153"/>
      <c r="AD609" s="153"/>
      <c r="AE609" s="165"/>
      <c r="AF609" s="149"/>
      <c r="AG609" s="149"/>
      <c r="AH609" s="184"/>
    </row>
    <row r="610" spans="2:34" ht="35.1" customHeight="1" thickTop="1" thickBot="1" x14ac:dyDescent="0.25">
      <c r="B610" s="141"/>
      <c r="C610" s="141"/>
      <c r="D610" s="141"/>
      <c r="E610" s="141"/>
      <c r="F610" s="141"/>
      <c r="G610" s="141"/>
      <c r="H610" s="141"/>
      <c r="I610" s="158"/>
      <c r="J610" s="18" t="s">
        <v>30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e">
        <f t="shared" si="104"/>
        <v>#DIV/0!</v>
      </c>
      <c r="AA610" s="147" t="e">
        <f>AVERAGE(Z610,Z611,Z612,Z615)</f>
        <v>#DIV/0!</v>
      </c>
      <c r="AB610" s="150"/>
      <c r="AC610" s="151"/>
      <c r="AD610" s="151"/>
      <c r="AE610" s="163"/>
      <c r="AF610" s="150"/>
      <c r="AG610" s="150"/>
      <c r="AH610" s="182" t="e">
        <f t="shared" ref="AH610" si="110">(AC610)/AB610</f>
        <v>#DIV/0!</v>
      </c>
    </row>
    <row r="611" spans="2:34" ht="35.1" customHeight="1" thickTop="1" thickBot="1" x14ac:dyDescent="0.25">
      <c r="B611" s="142"/>
      <c r="C611" s="142"/>
      <c r="D611" s="142"/>
      <c r="E611" s="142"/>
      <c r="F611" s="142"/>
      <c r="G611" s="142"/>
      <c r="H611" s="142"/>
      <c r="I611" s="159"/>
      <c r="J611" s="18" t="s">
        <v>29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e">
        <f t="shared" si="104"/>
        <v>#DIV/0!</v>
      </c>
      <c r="AA611" s="148"/>
      <c r="AB611" s="148"/>
      <c r="AC611" s="152"/>
      <c r="AD611" s="152"/>
      <c r="AE611" s="164"/>
      <c r="AF611" s="148"/>
      <c r="AG611" s="148"/>
      <c r="AH611" s="183"/>
    </row>
    <row r="612" spans="2:34" ht="35.1" customHeight="1" thickTop="1" thickBot="1" x14ac:dyDescent="0.25">
      <c r="B612" s="142"/>
      <c r="C612" s="142"/>
      <c r="D612" s="142"/>
      <c r="E612" s="142"/>
      <c r="F612" s="142"/>
      <c r="G612" s="142"/>
      <c r="H612" s="142"/>
      <c r="I612" s="159"/>
      <c r="J612" s="18" t="s">
        <v>28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e">
        <f t="shared" si="104"/>
        <v>#DIV/0!</v>
      </c>
      <c r="AA612" s="148"/>
      <c r="AB612" s="148"/>
      <c r="AC612" s="152"/>
      <c r="AD612" s="152"/>
      <c r="AE612" s="164"/>
      <c r="AF612" s="148"/>
      <c r="AG612" s="148"/>
      <c r="AH612" s="183"/>
    </row>
    <row r="613" spans="2:34" ht="35.1" customHeight="1" thickTop="1" thickBot="1" x14ac:dyDescent="0.25">
      <c r="B613" s="142"/>
      <c r="C613" s="142"/>
      <c r="D613" s="142"/>
      <c r="E613" s="142"/>
      <c r="F613" s="142"/>
      <c r="G613" s="142"/>
      <c r="H613" s="142"/>
      <c r="I613" s="159"/>
      <c r="J613" s="18" t="s">
        <v>27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e">
        <f t="shared" si="104"/>
        <v>#DIV/0!</v>
      </c>
      <c r="AA613" s="148"/>
      <c r="AB613" s="148"/>
      <c r="AC613" s="152"/>
      <c r="AD613" s="152"/>
      <c r="AE613" s="164"/>
      <c r="AF613" s="148"/>
      <c r="AG613" s="148"/>
      <c r="AH613" s="183"/>
    </row>
    <row r="614" spans="2:34" ht="35.1" customHeight="1" thickTop="1" thickBot="1" x14ac:dyDescent="0.25">
      <c r="B614" s="142"/>
      <c r="C614" s="142"/>
      <c r="D614" s="142"/>
      <c r="E614" s="142"/>
      <c r="F614" s="142"/>
      <c r="G614" s="142"/>
      <c r="H614" s="142"/>
      <c r="I614" s="159"/>
      <c r="J614" s="18" t="s">
        <v>26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e">
        <f t="shared" si="104"/>
        <v>#DIV/0!</v>
      </c>
      <c r="AA614" s="148"/>
      <c r="AB614" s="148"/>
      <c r="AC614" s="152"/>
      <c r="AD614" s="152"/>
      <c r="AE614" s="164"/>
      <c r="AF614" s="148"/>
      <c r="AG614" s="148"/>
      <c r="AH614" s="183"/>
    </row>
    <row r="615" spans="2:34" ht="35.1" customHeight="1" thickTop="1" thickBot="1" x14ac:dyDescent="0.25">
      <c r="B615" s="143"/>
      <c r="C615" s="143"/>
      <c r="D615" s="143"/>
      <c r="E615" s="143"/>
      <c r="F615" s="143"/>
      <c r="G615" s="143"/>
      <c r="H615" s="143"/>
      <c r="I615" s="160"/>
      <c r="J615" s="12" t="s">
        <v>25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e">
        <f t="shared" si="104"/>
        <v>#DIV/0!</v>
      </c>
      <c r="AA615" s="149"/>
      <c r="AB615" s="149"/>
      <c r="AC615" s="153"/>
      <c r="AD615" s="153"/>
      <c r="AE615" s="165"/>
      <c r="AF615" s="149"/>
      <c r="AG615" s="149"/>
      <c r="AH615" s="184"/>
    </row>
    <row r="616" spans="2:34" ht="35.1" customHeight="1" thickTop="1" thickBot="1" x14ac:dyDescent="0.25">
      <c r="B616" s="141"/>
      <c r="C616" s="141"/>
      <c r="D616" s="141"/>
      <c r="E616" s="141"/>
      <c r="F616" s="141"/>
      <c r="G616" s="141"/>
      <c r="H616" s="141"/>
      <c r="I616" s="158"/>
      <c r="J616" s="18" t="s">
        <v>30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e">
        <f t="shared" si="104"/>
        <v>#DIV/0!</v>
      </c>
      <c r="AA616" s="147" t="e">
        <f>AVERAGE(Z616,Z617,Z618,Z621)</f>
        <v>#DIV/0!</v>
      </c>
      <c r="AB616" s="150"/>
      <c r="AC616" s="151"/>
      <c r="AD616" s="151"/>
      <c r="AE616" s="163"/>
      <c r="AF616" s="150"/>
      <c r="AG616" s="150"/>
      <c r="AH616" s="182" t="e">
        <f t="shared" ref="AH616" si="111">(AC616)/AB616</f>
        <v>#DIV/0!</v>
      </c>
    </row>
    <row r="617" spans="2:34" ht="35.1" customHeight="1" thickTop="1" thickBot="1" x14ac:dyDescent="0.25">
      <c r="B617" s="142"/>
      <c r="C617" s="142"/>
      <c r="D617" s="142"/>
      <c r="E617" s="142"/>
      <c r="F617" s="142"/>
      <c r="G617" s="142"/>
      <c r="H617" s="142"/>
      <c r="I617" s="159"/>
      <c r="J617" s="18" t="s">
        <v>29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e">
        <f t="shared" si="104"/>
        <v>#DIV/0!</v>
      </c>
      <c r="AA617" s="148"/>
      <c r="AB617" s="148"/>
      <c r="AC617" s="152"/>
      <c r="AD617" s="152"/>
      <c r="AE617" s="164"/>
      <c r="AF617" s="148"/>
      <c r="AG617" s="148"/>
      <c r="AH617" s="183"/>
    </row>
    <row r="618" spans="2:34" ht="35.1" customHeight="1" thickTop="1" thickBot="1" x14ac:dyDescent="0.25">
      <c r="B618" s="142"/>
      <c r="C618" s="142"/>
      <c r="D618" s="142"/>
      <c r="E618" s="142"/>
      <c r="F618" s="142"/>
      <c r="G618" s="142"/>
      <c r="H618" s="142"/>
      <c r="I618" s="159"/>
      <c r="J618" s="18" t="s">
        <v>28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e">
        <f t="shared" si="104"/>
        <v>#DIV/0!</v>
      </c>
      <c r="AA618" s="148"/>
      <c r="AB618" s="148"/>
      <c r="AC618" s="152"/>
      <c r="AD618" s="152"/>
      <c r="AE618" s="164"/>
      <c r="AF618" s="148"/>
      <c r="AG618" s="148"/>
      <c r="AH618" s="183"/>
    </row>
    <row r="619" spans="2:34" ht="35.1" customHeight="1" thickTop="1" thickBot="1" x14ac:dyDescent="0.25">
      <c r="B619" s="142"/>
      <c r="C619" s="142"/>
      <c r="D619" s="142"/>
      <c r="E619" s="142"/>
      <c r="F619" s="142"/>
      <c r="G619" s="142"/>
      <c r="H619" s="142"/>
      <c r="I619" s="159"/>
      <c r="J619" s="18" t="s">
        <v>27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e">
        <f t="shared" si="104"/>
        <v>#DIV/0!</v>
      </c>
      <c r="AA619" s="148"/>
      <c r="AB619" s="148"/>
      <c r="AC619" s="152"/>
      <c r="AD619" s="152"/>
      <c r="AE619" s="164"/>
      <c r="AF619" s="148"/>
      <c r="AG619" s="148"/>
      <c r="AH619" s="183"/>
    </row>
    <row r="620" spans="2:34" ht="35.1" customHeight="1" thickTop="1" thickBot="1" x14ac:dyDescent="0.25">
      <c r="B620" s="142"/>
      <c r="C620" s="142"/>
      <c r="D620" s="142"/>
      <c r="E620" s="142"/>
      <c r="F620" s="142"/>
      <c r="G620" s="142"/>
      <c r="H620" s="142"/>
      <c r="I620" s="159"/>
      <c r="J620" s="18" t="s">
        <v>26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e">
        <f t="shared" si="104"/>
        <v>#DIV/0!</v>
      </c>
      <c r="AA620" s="148"/>
      <c r="AB620" s="148"/>
      <c r="AC620" s="152"/>
      <c r="AD620" s="152"/>
      <c r="AE620" s="164"/>
      <c r="AF620" s="148"/>
      <c r="AG620" s="148"/>
      <c r="AH620" s="183"/>
    </row>
    <row r="621" spans="2:34" ht="35.1" customHeight="1" thickTop="1" thickBot="1" x14ac:dyDescent="0.25">
      <c r="B621" s="143"/>
      <c r="C621" s="143"/>
      <c r="D621" s="143"/>
      <c r="E621" s="143"/>
      <c r="F621" s="143"/>
      <c r="G621" s="143"/>
      <c r="H621" s="143"/>
      <c r="I621" s="160"/>
      <c r="J621" s="12" t="s">
        <v>25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e">
        <f t="shared" si="104"/>
        <v>#DIV/0!</v>
      </c>
      <c r="AA621" s="149"/>
      <c r="AB621" s="149"/>
      <c r="AC621" s="153"/>
      <c r="AD621" s="153"/>
      <c r="AE621" s="165"/>
      <c r="AF621" s="149"/>
      <c r="AG621" s="149"/>
      <c r="AH621" s="184"/>
    </row>
    <row r="622" spans="2:34" ht="35.1" customHeight="1" thickTop="1" thickBot="1" x14ac:dyDescent="0.25">
      <c r="B622" s="141"/>
      <c r="C622" s="141"/>
      <c r="D622" s="141"/>
      <c r="E622" s="141"/>
      <c r="F622" s="141"/>
      <c r="G622" s="141"/>
      <c r="H622" s="141"/>
      <c r="I622" s="158"/>
      <c r="J622" s="18" t="s">
        <v>30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e">
        <f t="shared" si="104"/>
        <v>#DIV/0!</v>
      </c>
      <c r="AA622" s="147" t="e">
        <f>AVERAGE(Z622,Z623,Z624,Z627)</f>
        <v>#DIV/0!</v>
      </c>
      <c r="AB622" s="150"/>
      <c r="AC622" s="151"/>
      <c r="AD622" s="151"/>
      <c r="AE622" s="163"/>
      <c r="AF622" s="150"/>
      <c r="AG622" s="150"/>
      <c r="AH622" s="182" t="e">
        <f t="shared" ref="AH622" si="112">(AC622)/AB622</f>
        <v>#DIV/0!</v>
      </c>
    </row>
    <row r="623" spans="2:34" ht="35.1" customHeight="1" thickTop="1" thickBot="1" x14ac:dyDescent="0.25">
      <c r="B623" s="142"/>
      <c r="C623" s="142"/>
      <c r="D623" s="142"/>
      <c r="E623" s="142"/>
      <c r="F623" s="142"/>
      <c r="G623" s="142"/>
      <c r="H623" s="142"/>
      <c r="I623" s="159"/>
      <c r="J623" s="18" t="s">
        <v>29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e">
        <f t="shared" si="104"/>
        <v>#DIV/0!</v>
      </c>
      <c r="AA623" s="148"/>
      <c r="AB623" s="148"/>
      <c r="AC623" s="152"/>
      <c r="AD623" s="152"/>
      <c r="AE623" s="164"/>
      <c r="AF623" s="148"/>
      <c r="AG623" s="148"/>
      <c r="AH623" s="183"/>
    </row>
    <row r="624" spans="2:34" ht="35.1" customHeight="1" thickTop="1" thickBot="1" x14ac:dyDescent="0.25">
      <c r="B624" s="142"/>
      <c r="C624" s="142"/>
      <c r="D624" s="142"/>
      <c r="E624" s="142"/>
      <c r="F624" s="142"/>
      <c r="G624" s="142"/>
      <c r="H624" s="142"/>
      <c r="I624" s="159"/>
      <c r="J624" s="18" t="s">
        <v>28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e">
        <f t="shared" si="104"/>
        <v>#DIV/0!</v>
      </c>
      <c r="AA624" s="148"/>
      <c r="AB624" s="148"/>
      <c r="AC624" s="152"/>
      <c r="AD624" s="152"/>
      <c r="AE624" s="164"/>
      <c r="AF624" s="148"/>
      <c r="AG624" s="148"/>
      <c r="AH624" s="183"/>
    </row>
    <row r="625" spans="2:34" ht="35.1" customHeight="1" thickTop="1" thickBot="1" x14ac:dyDescent="0.25">
      <c r="B625" s="142"/>
      <c r="C625" s="142"/>
      <c r="D625" s="142"/>
      <c r="E625" s="142"/>
      <c r="F625" s="142"/>
      <c r="G625" s="142"/>
      <c r="H625" s="142"/>
      <c r="I625" s="159"/>
      <c r="J625" s="18" t="s">
        <v>27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e">
        <f t="shared" si="104"/>
        <v>#DIV/0!</v>
      </c>
      <c r="AA625" s="148"/>
      <c r="AB625" s="148"/>
      <c r="AC625" s="152"/>
      <c r="AD625" s="152"/>
      <c r="AE625" s="164"/>
      <c r="AF625" s="148"/>
      <c r="AG625" s="148"/>
      <c r="AH625" s="183"/>
    </row>
    <row r="626" spans="2:34" ht="35.1" customHeight="1" thickTop="1" thickBot="1" x14ac:dyDescent="0.25">
      <c r="B626" s="142"/>
      <c r="C626" s="142"/>
      <c r="D626" s="142"/>
      <c r="E626" s="142"/>
      <c r="F626" s="142"/>
      <c r="G626" s="142"/>
      <c r="H626" s="142"/>
      <c r="I626" s="159"/>
      <c r="J626" s="18" t="s">
        <v>26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e">
        <f t="shared" si="104"/>
        <v>#DIV/0!</v>
      </c>
      <c r="AA626" s="148"/>
      <c r="AB626" s="148"/>
      <c r="AC626" s="152"/>
      <c r="AD626" s="152"/>
      <c r="AE626" s="164"/>
      <c r="AF626" s="148"/>
      <c r="AG626" s="148"/>
      <c r="AH626" s="183"/>
    </row>
    <row r="627" spans="2:34" ht="35.1" customHeight="1" thickTop="1" thickBot="1" x14ac:dyDescent="0.25">
      <c r="B627" s="143"/>
      <c r="C627" s="143"/>
      <c r="D627" s="143"/>
      <c r="E627" s="143"/>
      <c r="F627" s="143"/>
      <c r="G627" s="143"/>
      <c r="H627" s="143"/>
      <c r="I627" s="160"/>
      <c r="J627" s="12" t="s">
        <v>25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e">
        <f t="shared" si="104"/>
        <v>#DIV/0!</v>
      </c>
      <c r="AA627" s="149"/>
      <c r="AB627" s="149"/>
      <c r="AC627" s="153"/>
      <c r="AD627" s="153"/>
      <c r="AE627" s="165"/>
      <c r="AF627" s="149"/>
      <c r="AG627" s="149"/>
      <c r="AH627" s="184"/>
    </row>
    <row r="628" spans="2:34" ht="35.1" customHeight="1" thickTop="1" thickBot="1" x14ac:dyDescent="0.25">
      <c r="B628" s="141"/>
      <c r="C628" s="141"/>
      <c r="D628" s="141"/>
      <c r="E628" s="141"/>
      <c r="F628" s="141"/>
      <c r="G628" s="141"/>
      <c r="H628" s="141"/>
      <c r="I628" s="158"/>
      <c r="J628" s="18" t="s">
        <v>30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e">
        <f t="shared" si="104"/>
        <v>#DIV/0!</v>
      </c>
      <c r="AA628" s="147" t="e">
        <f>AVERAGE(Z628,Z629,Z630,Z633)</f>
        <v>#DIV/0!</v>
      </c>
      <c r="AB628" s="150"/>
      <c r="AC628" s="151"/>
      <c r="AD628" s="151"/>
      <c r="AE628" s="163"/>
      <c r="AF628" s="150"/>
      <c r="AG628" s="150"/>
      <c r="AH628" s="182" t="e">
        <f t="shared" ref="AH628" si="113">(AC628)/AB628</f>
        <v>#DIV/0!</v>
      </c>
    </row>
    <row r="629" spans="2:34" ht="35.1" customHeight="1" thickTop="1" thickBot="1" x14ac:dyDescent="0.25">
      <c r="B629" s="142"/>
      <c r="C629" s="142"/>
      <c r="D629" s="142"/>
      <c r="E629" s="142"/>
      <c r="F629" s="142"/>
      <c r="G629" s="142"/>
      <c r="H629" s="142"/>
      <c r="I629" s="159"/>
      <c r="J629" s="18" t="s">
        <v>29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e">
        <f t="shared" si="104"/>
        <v>#DIV/0!</v>
      </c>
      <c r="AA629" s="148"/>
      <c r="AB629" s="148"/>
      <c r="AC629" s="152"/>
      <c r="AD629" s="152"/>
      <c r="AE629" s="164"/>
      <c r="AF629" s="148"/>
      <c r="AG629" s="148"/>
      <c r="AH629" s="183"/>
    </row>
    <row r="630" spans="2:34" ht="35.1" customHeight="1" thickTop="1" thickBot="1" x14ac:dyDescent="0.25">
      <c r="B630" s="142"/>
      <c r="C630" s="142"/>
      <c r="D630" s="142"/>
      <c r="E630" s="142"/>
      <c r="F630" s="142"/>
      <c r="G630" s="142"/>
      <c r="H630" s="142"/>
      <c r="I630" s="159"/>
      <c r="J630" s="18" t="s">
        <v>28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e">
        <f t="shared" si="104"/>
        <v>#DIV/0!</v>
      </c>
      <c r="AA630" s="148"/>
      <c r="AB630" s="148"/>
      <c r="AC630" s="152"/>
      <c r="AD630" s="152"/>
      <c r="AE630" s="164"/>
      <c r="AF630" s="148"/>
      <c r="AG630" s="148"/>
      <c r="AH630" s="183"/>
    </row>
    <row r="631" spans="2:34" ht="35.1" customHeight="1" thickTop="1" thickBot="1" x14ac:dyDescent="0.25">
      <c r="B631" s="142"/>
      <c r="C631" s="142"/>
      <c r="D631" s="142"/>
      <c r="E631" s="142"/>
      <c r="F631" s="142"/>
      <c r="G631" s="142"/>
      <c r="H631" s="142"/>
      <c r="I631" s="159"/>
      <c r="J631" s="18" t="s">
        <v>27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e">
        <f t="shared" si="104"/>
        <v>#DIV/0!</v>
      </c>
      <c r="AA631" s="148"/>
      <c r="AB631" s="148"/>
      <c r="AC631" s="152"/>
      <c r="AD631" s="152"/>
      <c r="AE631" s="164"/>
      <c r="AF631" s="148"/>
      <c r="AG631" s="148"/>
      <c r="AH631" s="183"/>
    </row>
    <row r="632" spans="2:34" ht="35.1" customHeight="1" thickTop="1" thickBot="1" x14ac:dyDescent="0.25">
      <c r="B632" s="142"/>
      <c r="C632" s="142"/>
      <c r="D632" s="142"/>
      <c r="E632" s="142"/>
      <c r="F632" s="142"/>
      <c r="G632" s="142"/>
      <c r="H632" s="142"/>
      <c r="I632" s="159"/>
      <c r="J632" s="18" t="s">
        <v>26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e">
        <f t="shared" si="104"/>
        <v>#DIV/0!</v>
      </c>
      <c r="AA632" s="148"/>
      <c r="AB632" s="148"/>
      <c r="AC632" s="152"/>
      <c r="AD632" s="152"/>
      <c r="AE632" s="164"/>
      <c r="AF632" s="148"/>
      <c r="AG632" s="148"/>
      <c r="AH632" s="183"/>
    </row>
    <row r="633" spans="2:34" ht="35.1" customHeight="1" thickTop="1" thickBot="1" x14ac:dyDescent="0.25">
      <c r="B633" s="143"/>
      <c r="C633" s="143"/>
      <c r="D633" s="143"/>
      <c r="E633" s="143"/>
      <c r="F633" s="143"/>
      <c r="G633" s="143"/>
      <c r="H633" s="143"/>
      <c r="I633" s="160"/>
      <c r="J633" s="12" t="s">
        <v>25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e">
        <f t="shared" si="104"/>
        <v>#DIV/0!</v>
      </c>
      <c r="AA633" s="149"/>
      <c r="AB633" s="149"/>
      <c r="AC633" s="153"/>
      <c r="AD633" s="153"/>
      <c r="AE633" s="165"/>
      <c r="AF633" s="149"/>
      <c r="AG633" s="149"/>
      <c r="AH633" s="184"/>
    </row>
    <row r="634" spans="2:34" ht="35.1" customHeight="1" thickTop="1" thickBot="1" x14ac:dyDescent="0.25">
      <c r="B634" s="141"/>
      <c r="C634" s="141"/>
      <c r="D634" s="141"/>
      <c r="E634" s="141"/>
      <c r="F634" s="141"/>
      <c r="G634" s="141"/>
      <c r="H634" s="141"/>
      <c r="I634" s="158"/>
      <c r="J634" s="18" t="s">
        <v>30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e">
        <f t="shared" si="104"/>
        <v>#DIV/0!</v>
      </c>
      <c r="AA634" s="147" t="e">
        <f>AVERAGE(Z634,Z635,Z636,Z639)</f>
        <v>#DIV/0!</v>
      </c>
      <c r="AB634" s="150"/>
      <c r="AC634" s="151"/>
      <c r="AD634" s="151"/>
      <c r="AE634" s="163"/>
      <c r="AF634" s="150"/>
      <c r="AG634" s="150"/>
      <c r="AH634" s="182" t="e">
        <f t="shared" ref="AH634" si="114">(AC634)/AB634</f>
        <v>#DIV/0!</v>
      </c>
    </row>
    <row r="635" spans="2:34" ht="35.1" customHeight="1" thickTop="1" thickBot="1" x14ac:dyDescent="0.25">
      <c r="B635" s="142"/>
      <c r="C635" s="142"/>
      <c r="D635" s="142"/>
      <c r="E635" s="142"/>
      <c r="F635" s="142"/>
      <c r="G635" s="142"/>
      <c r="H635" s="142"/>
      <c r="I635" s="159"/>
      <c r="J635" s="18" t="s">
        <v>29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e">
        <f t="shared" si="104"/>
        <v>#DIV/0!</v>
      </c>
      <c r="AA635" s="148"/>
      <c r="AB635" s="148"/>
      <c r="AC635" s="152"/>
      <c r="AD635" s="152"/>
      <c r="AE635" s="164"/>
      <c r="AF635" s="148"/>
      <c r="AG635" s="148"/>
      <c r="AH635" s="183"/>
    </row>
    <row r="636" spans="2:34" ht="35.1" customHeight="1" thickTop="1" thickBot="1" x14ac:dyDescent="0.25">
      <c r="B636" s="142"/>
      <c r="C636" s="142"/>
      <c r="D636" s="142"/>
      <c r="E636" s="142"/>
      <c r="F636" s="142"/>
      <c r="G636" s="142"/>
      <c r="H636" s="142"/>
      <c r="I636" s="159"/>
      <c r="J636" s="18" t="s">
        <v>28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e">
        <f t="shared" si="104"/>
        <v>#DIV/0!</v>
      </c>
      <c r="AA636" s="148"/>
      <c r="AB636" s="148"/>
      <c r="AC636" s="152"/>
      <c r="AD636" s="152"/>
      <c r="AE636" s="164"/>
      <c r="AF636" s="148"/>
      <c r="AG636" s="148"/>
      <c r="AH636" s="183"/>
    </row>
    <row r="637" spans="2:34" ht="35.1" customHeight="1" thickTop="1" thickBot="1" x14ac:dyDescent="0.25">
      <c r="B637" s="142"/>
      <c r="C637" s="142"/>
      <c r="D637" s="142"/>
      <c r="E637" s="142"/>
      <c r="F637" s="142"/>
      <c r="G637" s="142"/>
      <c r="H637" s="142"/>
      <c r="I637" s="159"/>
      <c r="J637" s="18" t="s">
        <v>27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e">
        <f t="shared" si="104"/>
        <v>#DIV/0!</v>
      </c>
      <c r="AA637" s="148"/>
      <c r="AB637" s="148"/>
      <c r="AC637" s="152"/>
      <c r="AD637" s="152"/>
      <c r="AE637" s="164"/>
      <c r="AF637" s="148"/>
      <c r="AG637" s="148"/>
      <c r="AH637" s="183"/>
    </row>
    <row r="638" spans="2:34" ht="35.1" customHeight="1" thickTop="1" thickBot="1" x14ac:dyDescent="0.25">
      <c r="B638" s="142"/>
      <c r="C638" s="142"/>
      <c r="D638" s="142"/>
      <c r="E638" s="142"/>
      <c r="F638" s="142"/>
      <c r="G638" s="142"/>
      <c r="H638" s="142"/>
      <c r="I638" s="159"/>
      <c r="J638" s="18" t="s">
        <v>26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e">
        <f t="shared" si="104"/>
        <v>#DIV/0!</v>
      </c>
      <c r="AA638" s="148"/>
      <c r="AB638" s="148"/>
      <c r="AC638" s="152"/>
      <c r="AD638" s="152"/>
      <c r="AE638" s="164"/>
      <c r="AF638" s="148"/>
      <c r="AG638" s="148"/>
      <c r="AH638" s="183"/>
    </row>
    <row r="639" spans="2:34" ht="35.1" customHeight="1" thickTop="1" thickBot="1" x14ac:dyDescent="0.25">
      <c r="B639" s="143"/>
      <c r="C639" s="143"/>
      <c r="D639" s="143"/>
      <c r="E639" s="143"/>
      <c r="F639" s="143"/>
      <c r="G639" s="143"/>
      <c r="H639" s="143"/>
      <c r="I639" s="160"/>
      <c r="J639" s="12" t="s">
        <v>25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e">
        <f t="shared" si="104"/>
        <v>#DIV/0!</v>
      </c>
      <c r="AA639" s="149"/>
      <c r="AB639" s="149"/>
      <c r="AC639" s="153"/>
      <c r="AD639" s="153"/>
      <c r="AE639" s="165"/>
      <c r="AF639" s="149"/>
      <c r="AG639" s="149"/>
      <c r="AH639" s="184"/>
    </row>
    <row r="640" spans="2:34" ht="35.1" customHeight="1" thickTop="1" thickBot="1" x14ac:dyDescent="0.25">
      <c r="B640" s="141"/>
      <c r="C640" s="141"/>
      <c r="D640" s="141"/>
      <c r="E640" s="141"/>
      <c r="F640" s="141"/>
      <c r="G640" s="141"/>
      <c r="H640" s="141"/>
      <c r="I640" s="158"/>
      <c r="J640" s="18" t="s">
        <v>30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e">
        <f t="shared" si="104"/>
        <v>#DIV/0!</v>
      </c>
      <c r="AA640" s="147" t="e">
        <f>AVERAGE(Z640,Z641,Z642,Z645)</f>
        <v>#DIV/0!</v>
      </c>
      <c r="AB640" s="150"/>
      <c r="AC640" s="151"/>
      <c r="AD640" s="151"/>
      <c r="AE640" s="163"/>
      <c r="AF640" s="150"/>
      <c r="AG640" s="150"/>
      <c r="AH640" s="182" t="e">
        <f t="shared" ref="AH640" si="115">(AC640)/AB640</f>
        <v>#DIV/0!</v>
      </c>
    </row>
    <row r="641" spans="2:34" ht="35.1" customHeight="1" thickTop="1" thickBot="1" x14ac:dyDescent="0.25">
      <c r="B641" s="142"/>
      <c r="C641" s="142"/>
      <c r="D641" s="142"/>
      <c r="E641" s="142"/>
      <c r="F641" s="142"/>
      <c r="G641" s="142"/>
      <c r="H641" s="142"/>
      <c r="I641" s="159"/>
      <c r="J641" s="18" t="s">
        <v>29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e">
        <f t="shared" si="104"/>
        <v>#DIV/0!</v>
      </c>
      <c r="AA641" s="148"/>
      <c r="AB641" s="148"/>
      <c r="AC641" s="152"/>
      <c r="AD641" s="152"/>
      <c r="AE641" s="164"/>
      <c r="AF641" s="148"/>
      <c r="AG641" s="148"/>
      <c r="AH641" s="183"/>
    </row>
    <row r="642" spans="2:34" ht="35.1" customHeight="1" thickTop="1" thickBot="1" x14ac:dyDescent="0.25">
      <c r="B642" s="142"/>
      <c r="C642" s="142"/>
      <c r="D642" s="142"/>
      <c r="E642" s="142"/>
      <c r="F642" s="142"/>
      <c r="G642" s="142"/>
      <c r="H642" s="142"/>
      <c r="I642" s="159"/>
      <c r="J642" s="18" t="s">
        <v>28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e">
        <f t="shared" si="104"/>
        <v>#DIV/0!</v>
      </c>
      <c r="AA642" s="148"/>
      <c r="AB642" s="148"/>
      <c r="AC642" s="152"/>
      <c r="AD642" s="152"/>
      <c r="AE642" s="164"/>
      <c r="AF642" s="148"/>
      <c r="AG642" s="148"/>
      <c r="AH642" s="183"/>
    </row>
    <row r="643" spans="2:34" ht="35.1" customHeight="1" thickTop="1" thickBot="1" x14ac:dyDescent="0.25">
      <c r="B643" s="142"/>
      <c r="C643" s="142"/>
      <c r="D643" s="142"/>
      <c r="E643" s="142"/>
      <c r="F643" s="142"/>
      <c r="G643" s="142"/>
      <c r="H643" s="142"/>
      <c r="I643" s="159"/>
      <c r="J643" s="18" t="s">
        <v>27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e">
        <f t="shared" si="104"/>
        <v>#DIV/0!</v>
      </c>
      <c r="AA643" s="148"/>
      <c r="AB643" s="148"/>
      <c r="AC643" s="152"/>
      <c r="AD643" s="152"/>
      <c r="AE643" s="164"/>
      <c r="AF643" s="148"/>
      <c r="AG643" s="148"/>
      <c r="AH643" s="183"/>
    </row>
    <row r="644" spans="2:34" ht="35.1" customHeight="1" thickTop="1" thickBot="1" x14ac:dyDescent="0.25">
      <c r="B644" s="142"/>
      <c r="C644" s="142"/>
      <c r="D644" s="142"/>
      <c r="E644" s="142"/>
      <c r="F644" s="142"/>
      <c r="G644" s="142"/>
      <c r="H644" s="142"/>
      <c r="I644" s="159"/>
      <c r="J644" s="18" t="s">
        <v>26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e">
        <f t="shared" ref="Z644:Z707" si="116">(L644)/K644</f>
        <v>#DIV/0!</v>
      </c>
      <c r="AA644" s="148"/>
      <c r="AB644" s="148"/>
      <c r="AC644" s="152"/>
      <c r="AD644" s="152"/>
      <c r="AE644" s="164"/>
      <c r="AF644" s="148"/>
      <c r="AG644" s="148"/>
      <c r="AH644" s="183"/>
    </row>
    <row r="645" spans="2:34" ht="35.1" customHeight="1" thickTop="1" thickBot="1" x14ac:dyDescent="0.25">
      <c r="B645" s="143"/>
      <c r="C645" s="143"/>
      <c r="D645" s="143"/>
      <c r="E645" s="143"/>
      <c r="F645" s="143"/>
      <c r="G645" s="143"/>
      <c r="H645" s="143"/>
      <c r="I645" s="160"/>
      <c r="J645" s="12" t="s">
        <v>25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e">
        <f t="shared" si="116"/>
        <v>#DIV/0!</v>
      </c>
      <c r="AA645" s="149"/>
      <c r="AB645" s="149"/>
      <c r="AC645" s="153"/>
      <c r="AD645" s="153"/>
      <c r="AE645" s="165"/>
      <c r="AF645" s="149"/>
      <c r="AG645" s="149"/>
      <c r="AH645" s="184"/>
    </row>
    <row r="646" spans="2:34" ht="35.1" customHeight="1" thickTop="1" thickBot="1" x14ac:dyDescent="0.25">
      <c r="B646" s="141"/>
      <c r="C646" s="141"/>
      <c r="D646" s="141"/>
      <c r="E646" s="141"/>
      <c r="F646" s="141"/>
      <c r="G646" s="141"/>
      <c r="H646" s="141"/>
      <c r="I646" s="158"/>
      <c r="J646" s="18" t="s">
        <v>30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e">
        <f t="shared" si="116"/>
        <v>#DIV/0!</v>
      </c>
      <c r="AA646" s="147" t="e">
        <f>AVERAGE(Z646,Z647,Z648,Z651)</f>
        <v>#DIV/0!</v>
      </c>
      <c r="AB646" s="150"/>
      <c r="AC646" s="151"/>
      <c r="AD646" s="151"/>
      <c r="AE646" s="163"/>
      <c r="AF646" s="150"/>
      <c r="AG646" s="150"/>
      <c r="AH646" s="182" t="e">
        <f t="shared" ref="AH646" si="117">(AC646)/AB646</f>
        <v>#DIV/0!</v>
      </c>
    </row>
    <row r="647" spans="2:34" ht="35.1" customHeight="1" thickTop="1" thickBot="1" x14ac:dyDescent="0.25">
      <c r="B647" s="142"/>
      <c r="C647" s="142"/>
      <c r="D647" s="142"/>
      <c r="E647" s="142"/>
      <c r="F647" s="142"/>
      <c r="G647" s="142"/>
      <c r="H647" s="142"/>
      <c r="I647" s="159"/>
      <c r="J647" s="18" t="s">
        <v>29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e">
        <f t="shared" si="116"/>
        <v>#DIV/0!</v>
      </c>
      <c r="AA647" s="148"/>
      <c r="AB647" s="148"/>
      <c r="AC647" s="152"/>
      <c r="AD647" s="152"/>
      <c r="AE647" s="164"/>
      <c r="AF647" s="148"/>
      <c r="AG647" s="148"/>
      <c r="AH647" s="183"/>
    </row>
    <row r="648" spans="2:34" ht="35.1" customHeight="1" thickTop="1" thickBot="1" x14ac:dyDescent="0.25">
      <c r="B648" s="142"/>
      <c r="C648" s="142"/>
      <c r="D648" s="142"/>
      <c r="E648" s="142"/>
      <c r="F648" s="142"/>
      <c r="G648" s="142"/>
      <c r="H648" s="142"/>
      <c r="I648" s="159"/>
      <c r="J648" s="18" t="s">
        <v>28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e">
        <f t="shared" si="116"/>
        <v>#DIV/0!</v>
      </c>
      <c r="AA648" s="148"/>
      <c r="AB648" s="148"/>
      <c r="AC648" s="152"/>
      <c r="AD648" s="152"/>
      <c r="AE648" s="164"/>
      <c r="AF648" s="148"/>
      <c r="AG648" s="148"/>
      <c r="AH648" s="183"/>
    </row>
    <row r="649" spans="2:34" ht="35.1" customHeight="1" thickTop="1" thickBot="1" x14ac:dyDescent="0.25">
      <c r="B649" s="142"/>
      <c r="C649" s="142"/>
      <c r="D649" s="142"/>
      <c r="E649" s="142"/>
      <c r="F649" s="142"/>
      <c r="G649" s="142"/>
      <c r="H649" s="142"/>
      <c r="I649" s="159"/>
      <c r="J649" s="18" t="s">
        <v>27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e">
        <f t="shared" si="116"/>
        <v>#DIV/0!</v>
      </c>
      <c r="AA649" s="148"/>
      <c r="AB649" s="148"/>
      <c r="AC649" s="152"/>
      <c r="AD649" s="152"/>
      <c r="AE649" s="164"/>
      <c r="AF649" s="148"/>
      <c r="AG649" s="148"/>
      <c r="AH649" s="183"/>
    </row>
    <row r="650" spans="2:34" ht="35.1" customHeight="1" thickTop="1" thickBot="1" x14ac:dyDescent="0.25">
      <c r="B650" s="142"/>
      <c r="C650" s="142"/>
      <c r="D650" s="142"/>
      <c r="E650" s="142"/>
      <c r="F650" s="142"/>
      <c r="G650" s="142"/>
      <c r="H650" s="142"/>
      <c r="I650" s="159"/>
      <c r="J650" s="18" t="s">
        <v>26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e">
        <f t="shared" si="116"/>
        <v>#DIV/0!</v>
      </c>
      <c r="AA650" s="148"/>
      <c r="AB650" s="148"/>
      <c r="AC650" s="152"/>
      <c r="AD650" s="152"/>
      <c r="AE650" s="164"/>
      <c r="AF650" s="148"/>
      <c r="AG650" s="148"/>
      <c r="AH650" s="183"/>
    </row>
    <row r="651" spans="2:34" ht="35.1" customHeight="1" thickTop="1" thickBot="1" x14ac:dyDescent="0.25">
      <c r="B651" s="143"/>
      <c r="C651" s="143"/>
      <c r="D651" s="143"/>
      <c r="E651" s="143"/>
      <c r="F651" s="143"/>
      <c r="G651" s="143"/>
      <c r="H651" s="143"/>
      <c r="I651" s="160"/>
      <c r="J651" s="12" t="s">
        <v>25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e">
        <f t="shared" si="116"/>
        <v>#DIV/0!</v>
      </c>
      <c r="AA651" s="149"/>
      <c r="AB651" s="149"/>
      <c r="AC651" s="153"/>
      <c r="AD651" s="153"/>
      <c r="AE651" s="165"/>
      <c r="AF651" s="149"/>
      <c r="AG651" s="149"/>
      <c r="AH651" s="184"/>
    </row>
    <row r="652" spans="2:34" ht="35.1" customHeight="1" thickTop="1" thickBot="1" x14ac:dyDescent="0.25">
      <c r="B652" s="141"/>
      <c r="C652" s="141"/>
      <c r="D652" s="141"/>
      <c r="E652" s="141"/>
      <c r="F652" s="141"/>
      <c r="G652" s="141"/>
      <c r="H652" s="141"/>
      <c r="I652" s="158"/>
      <c r="J652" s="18" t="s">
        <v>30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e">
        <f t="shared" si="116"/>
        <v>#DIV/0!</v>
      </c>
      <c r="AA652" s="147" t="e">
        <f>AVERAGE(Z652,Z653,Z654,Z657)</f>
        <v>#DIV/0!</v>
      </c>
      <c r="AB652" s="150"/>
      <c r="AC652" s="151"/>
      <c r="AD652" s="151"/>
      <c r="AE652" s="163"/>
      <c r="AF652" s="150"/>
      <c r="AG652" s="150"/>
      <c r="AH652" s="182" t="e">
        <f t="shared" ref="AH652" si="118">(AC652)/AB652</f>
        <v>#DIV/0!</v>
      </c>
    </row>
    <row r="653" spans="2:34" ht="35.1" customHeight="1" thickTop="1" thickBot="1" x14ac:dyDescent="0.25">
      <c r="B653" s="142"/>
      <c r="C653" s="142"/>
      <c r="D653" s="142"/>
      <c r="E653" s="142"/>
      <c r="F653" s="142"/>
      <c r="G653" s="142"/>
      <c r="H653" s="142"/>
      <c r="I653" s="159"/>
      <c r="J653" s="18" t="s">
        <v>29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e">
        <f t="shared" si="116"/>
        <v>#DIV/0!</v>
      </c>
      <c r="AA653" s="148"/>
      <c r="AB653" s="148"/>
      <c r="AC653" s="152"/>
      <c r="AD653" s="152"/>
      <c r="AE653" s="164"/>
      <c r="AF653" s="148"/>
      <c r="AG653" s="148"/>
      <c r="AH653" s="183"/>
    </row>
    <row r="654" spans="2:34" ht="35.1" customHeight="1" thickTop="1" thickBot="1" x14ac:dyDescent="0.25">
      <c r="B654" s="142"/>
      <c r="C654" s="142"/>
      <c r="D654" s="142"/>
      <c r="E654" s="142"/>
      <c r="F654" s="142"/>
      <c r="G654" s="142"/>
      <c r="H654" s="142"/>
      <c r="I654" s="159"/>
      <c r="J654" s="18" t="s">
        <v>28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e">
        <f t="shared" si="116"/>
        <v>#DIV/0!</v>
      </c>
      <c r="AA654" s="148"/>
      <c r="AB654" s="148"/>
      <c r="AC654" s="152"/>
      <c r="AD654" s="152"/>
      <c r="AE654" s="164"/>
      <c r="AF654" s="148"/>
      <c r="AG654" s="148"/>
      <c r="AH654" s="183"/>
    </row>
    <row r="655" spans="2:34" ht="35.1" customHeight="1" thickTop="1" thickBot="1" x14ac:dyDescent="0.25">
      <c r="B655" s="142"/>
      <c r="C655" s="142"/>
      <c r="D655" s="142"/>
      <c r="E655" s="142"/>
      <c r="F655" s="142"/>
      <c r="G655" s="142"/>
      <c r="H655" s="142"/>
      <c r="I655" s="159"/>
      <c r="J655" s="18" t="s">
        <v>27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e">
        <f t="shared" si="116"/>
        <v>#DIV/0!</v>
      </c>
      <c r="AA655" s="148"/>
      <c r="AB655" s="148"/>
      <c r="AC655" s="152"/>
      <c r="AD655" s="152"/>
      <c r="AE655" s="164"/>
      <c r="AF655" s="148"/>
      <c r="AG655" s="148"/>
      <c r="AH655" s="183"/>
    </row>
    <row r="656" spans="2:34" ht="35.1" customHeight="1" thickTop="1" thickBot="1" x14ac:dyDescent="0.25">
      <c r="B656" s="142"/>
      <c r="C656" s="142"/>
      <c r="D656" s="142"/>
      <c r="E656" s="142"/>
      <c r="F656" s="142"/>
      <c r="G656" s="142"/>
      <c r="H656" s="142"/>
      <c r="I656" s="159"/>
      <c r="J656" s="18" t="s">
        <v>26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e">
        <f t="shared" si="116"/>
        <v>#DIV/0!</v>
      </c>
      <c r="AA656" s="148"/>
      <c r="AB656" s="148"/>
      <c r="AC656" s="152"/>
      <c r="AD656" s="152"/>
      <c r="AE656" s="164"/>
      <c r="AF656" s="148"/>
      <c r="AG656" s="148"/>
      <c r="AH656" s="183"/>
    </row>
    <row r="657" spans="2:34" ht="35.1" customHeight="1" thickTop="1" thickBot="1" x14ac:dyDescent="0.25">
      <c r="B657" s="143"/>
      <c r="C657" s="143"/>
      <c r="D657" s="143"/>
      <c r="E657" s="143"/>
      <c r="F657" s="143"/>
      <c r="G657" s="143"/>
      <c r="H657" s="143"/>
      <c r="I657" s="160"/>
      <c r="J657" s="12" t="s">
        <v>25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e">
        <f t="shared" si="116"/>
        <v>#DIV/0!</v>
      </c>
      <c r="AA657" s="149"/>
      <c r="AB657" s="149"/>
      <c r="AC657" s="153"/>
      <c r="AD657" s="153"/>
      <c r="AE657" s="165"/>
      <c r="AF657" s="149"/>
      <c r="AG657" s="149"/>
      <c r="AH657" s="184"/>
    </row>
    <row r="658" spans="2:34" ht="35.1" customHeight="1" thickTop="1" thickBot="1" x14ac:dyDescent="0.25">
      <c r="B658" s="141"/>
      <c r="C658" s="141"/>
      <c r="D658" s="141"/>
      <c r="E658" s="141"/>
      <c r="F658" s="141"/>
      <c r="G658" s="141"/>
      <c r="H658" s="141"/>
      <c r="I658" s="158"/>
      <c r="J658" s="18" t="s">
        <v>30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e">
        <f t="shared" si="116"/>
        <v>#DIV/0!</v>
      </c>
      <c r="AA658" s="147" t="e">
        <f>AVERAGE(Z658,Z659,Z660,Z663)</f>
        <v>#DIV/0!</v>
      </c>
      <c r="AB658" s="150"/>
      <c r="AC658" s="151"/>
      <c r="AD658" s="151"/>
      <c r="AE658" s="163"/>
      <c r="AF658" s="150"/>
      <c r="AG658" s="150"/>
      <c r="AH658" s="182" t="e">
        <f t="shared" ref="AH658" si="119">(AC658)/AB658</f>
        <v>#DIV/0!</v>
      </c>
    </row>
    <row r="659" spans="2:34" ht="35.1" customHeight="1" thickTop="1" thickBot="1" x14ac:dyDescent="0.25">
      <c r="B659" s="142"/>
      <c r="C659" s="142"/>
      <c r="D659" s="142"/>
      <c r="E659" s="142"/>
      <c r="F659" s="142"/>
      <c r="G659" s="142"/>
      <c r="H659" s="142"/>
      <c r="I659" s="159"/>
      <c r="J659" s="18" t="s">
        <v>29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e">
        <f t="shared" si="116"/>
        <v>#DIV/0!</v>
      </c>
      <c r="AA659" s="148"/>
      <c r="AB659" s="148"/>
      <c r="AC659" s="152"/>
      <c r="AD659" s="152"/>
      <c r="AE659" s="164"/>
      <c r="AF659" s="148"/>
      <c r="AG659" s="148"/>
      <c r="AH659" s="183"/>
    </row>
    <row r="660" spans="2:34" ht="35.1" customHeight="1" thickTop="1" thickBot="1" x14ac:dyDescent="0.25">
      <c r="B660" s="142"/>
      <c r="C660" s="142"/>
      <c r="D660" s="142"/>
      <c r="E660" s="142"/>
      <c r="F660" s="142"/>
      <c r="G660" s="142"/>
      <c r="H660" s="142"/>
      <c r="I660" s="159"/>
      <c r="J660" s="18" t="s">
        <v>28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e">
        <f t="shared" si="116"/>
        <v>#DIV/0!</v>
      </c>
      <c r="AA660" s="148"/>
      <c r="AB660" s="148"/>
      <c r="AC660" s="152"/>
      <c r="AD660" s="152"/>
      <c r="AE660" s="164"/>
      <c r="AF660" s="148"/>
      <c r="AG660" s="148"/>
      <c r="AH660" s="183"/>
    </row>
    <row r="661" spans="2:34" ht="35.1" customHeight="1" thickTop="1" thickBot="1" x14ac:dyDescent="0.25">
      <c r="B661" s="142"/>
      <c r="C661" s="142"/>
      <c r="D661" s="142"/>
      <c r="E661" s="142"/>
      <c r="F661" s="142"/>
      <c r="G661" s="142"/>
      <c r="H661" s="142"/>
      <c r="I661" s="159"/>
      <c r="J661" s="18" t="s">
        <v>27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e">
        <f t="shared" si="116"/>
        <v>#DIV/0!</v>
      </c>
      <c r="AA661" s="148"/>
      <c r="AB661" s="148"/>
      <c r="AC661" s="152"/>
      <c r="AD661" s="152"/>
      <c r="AE661" s="164"/>
      <c r="AF661" s="148"/>
      <c r="AG661" s="148"/>
      <c r="AH661" s="183"/>
    </row>
    <row r="662" spans="2:34" ht="35.1" customHeight="1" thickTop="1" thickBot="1" x14ac:dyDescent="0.25">
      <c r="B662" s="142"/>
      <c r="C662" s="142"/>
      <c r="D662" s="142"/>
      <c r="E662" s="142"/>
      <c r="F662" s="142"/>
      <c r="G662" s="142"/>
      <c r="H662" s="142"/>
      <c r="I662" s="159"/>
      <c r="J662" s="18" t="s">
        <v>26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e">
        <f t="shared" si="116"/>
        <v>#DIV/0!</v>
      </c>
      <c r="AA662" s="148"/>
      <c r="AB662" s="148"/>
      <c r="AC662" s="152"/>
      <c r="AD662" s="152"/>
      <c r="AE662" s="164"/>
      <c r="AF662" s="148"/>
      <c r="AG662" s="148"/>
      <c r="AH662" s="183"/>
    </row>
    <row r="663" spans="2:34" ht="35.1" customHeight="1" thickTop="1" thickBot="1" x14ac:dyDescent="0.25">
      <c r="B663" s="143"/>
      <c r="C663" s="143"/>
      <c r="D663" s="143"/>
      <c r="E663" s="143"/>
      <c r="F663" s="143"/>
      <c r="G663" s="143"/>
      <c r="H663" s="143"/>
      <c r="I663" s="160"/>
      <c r="J663" s="12" t="s">
        <v>25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e">
        <f t="shared" si="116"/>
        <v>#DIV/0!</v>
      </c>
      <c r="AA663" s="149"/>
      <c r="AB663" s="149"/>
      <c r="AC663" s="153"/>
      <c r="AD663" s="153"/>
      <c r="AE663" s="165"/>
      <c r="AF663" s="149"/>
      <c r="AG663" s="149"/>
      <c r="AH663" s="184"/>
    </row>
    <row r="664" spans="2:34" ht="35.1" customHeight="1" thickTop="1" thickBot="1" x14ac:dyDescent="0.25">
      <c r="B664" s="141"/>
      <c r="C664" s="141"/>
      <c r="D664" s="141"/>
      <c r="E664" s="141"/>
      <c r="F664" s="141"/>
      <c r="G664" s="141"/>
      <c r="H664" s="141"/>
      <c r="I664" s="158"/>
      <c r="J664" s="18" t="s">
        <v>30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e">
        <f t="shared" si="116"/>
        <v>#DIV/0!</v>
      </c>
      <c r="AA664" s="147" t="e">
        <f>AVERAGE(Z664,Z665,Z666,Z669)</f>
        <v>#DIV/0!</v>
      </c>
      <c r="AB664" s="150"/>
      <c r="AC664" s="151"/>
      <c r="AD664" s="151"/>
      <c r="AE664" s="163"/>
      <c r="AF664" s="150"/>
      <c r="AG664" s="150"/>
      <c r="AH664" s="182" t="e">
        <f t="shared" ref="AH664" si="120">(AC664)/AB664</f>
        <v>#DIV/0!</v>
      </c>
    </row>
    <row r="665" spans="2:34" ht="35.1" customHeight="1" thickTop="1" thickBot="1" x14ac:dyDescent="0.25">
      <c r="B665" s="142"/>
      <c r="C665" s="142"/>
      <c r="D665" s="142"/>
      <c r="E665" s="142"/>
      <c r="F665" s="142"/>
      <c r="G665" s="142"/>
      <c r="H665" s="142"/>
      <c r="I665" s="159"/>
      <c r="J665" s="18" t="s">
        <v>29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e">
        <f t="shared" si="116"/>
        <v>#DIV/0!</v>
      </c>
      <c r="AA665" s="148"/>
      <c r="AB665" s="148"/>
      <c r="AC665" s="152"/>
      <c r="AD665" s="152"/>
      <c r="AE665" s="164"/>
      <c r="AF665" s="148"/>
      <c r="AG665" s="148"/>
      <c r="AH665" s="183"/>
    </row>
    <row r="666" spans="2:34" ht="35.1" customHeight="1" thickTop="1" thickBot="1" x14ac:dyDescent="0.25">
      <c r="B666" s="142"/>
      <c r="C666" s="142"/>
      <c r="D666" s="142"/>
      <c r="E666" s="142"/>
      <c r="F666" s="142"/>
      <c r="G666" s="142"/>
      <c r="H666" s="142"/>
      <c r="I666" s="159"/>
      <c r="J666" s="18" t="s">
        <v>28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e">
        <f t="shared" si="116"/>
        <v>#DIV/0!</v>
      </c>
      <c r="AA666" s="148"/>
      <c r="AB666" s="148"/>
      <c r="AC666" s="152"/>
      <c r="AD666" s="152"/>
      <c r="AE666" s="164"/>
      <c r="AF666" s="148"/>
      <c r="AG666" s="148"/>
      <c r="AH666" s="183"/>
    </row>
    <row r="667" spans="2:34" ht="35.1" customHeight="1" thickTop="1" thickBot="1" x14ac:dyDescent="0.25">
      <c r="B667" s="142"/>
      <c r="C667" s="142"/>
      <c r="D667" s="142"/>
      <c r="E667" s="142"/>
      <c r="F667" s="142"/>
      <c r="G667" s="142"/>
      <c r="H667" s="142"/>
      <c r="I667" s="159"/>
      <c r="J667" s="18" t="s">
        <v>27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e">
        <f t="shared" si="116"/>
        <v>#DIV/0!</v>
      </c>
      <c r="AA667" s="148"/>
      <c r="AB667" s="148"/>
      <c r="AC667" s="152"/>
      <c r="AD667" s="152"/>
      <c r="AE667" s="164"/>
      <c r="AF667" s="148"/>
      <c r="AG667" s="148"/>
      <c r="AH667" s="183"/>
    </row>
    <row r="668" spans="2:34" ht="35.1" customHeight="1" thickTop="1" thickBot="1" x14ac:dyDescent="0.25">
      <c r="B668" s="142"/>
      <c r="C668" s="142"/>
      <c r="D668" s="142"/>
      <c r="E668" s="142"/>
      <c r="F668" s="142"/>
      <c r="G668" s="142"/>
      <c r="H668" s="142"/>
      <c r="I668" s="159"/>
      <c r="J668" s="18" t="s">
        <v>26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e">
        <f t="shared" si="116"/>
        <v>#DIV/0!</v>
      </c>
      <c r="AA668" s="148"/>
      <c r="AB668" s="148"/>
      <c r="AC668" s="152"/>
      <c r="AD668" s="152"/>
      <c r="AE668" s="164"/>
      <c r="AF668" s="148"/>
      <c r="AG668" s="148"/>
      <c r="AH668" s="183"/>
    </row>
    <row r="669" spans="2:34" ht="35.1" customHeight="1" thickTop="1" thickBot="1" x14ac:dyDescent="0.25">
      <c r="B669" s="143"/>
      <c r="C669" s="143"/>
      <c r="D669" s="143"/>
      <c r="E669" s="143"/>
      <c r="F669" s="143"/>
      <c r="G669" s="143"/>
      <c r="H669" s="143"/>
      <c r="I669" s="160"/>
      <c r="J669" s="12" t="s">
        <v>25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e">
        <f t="shared" si="116"/>
        <v>#DIV/0!</v>
      </c>
      <c r="AA669" s="149"/>
      <c r="AB669" s="149"/>
      <c r="AC669" s="153"/>
      <c r="AD669" s="153"/>
      <c r="AE669" s="165"/>
      <c r="AF669" s="149"/>
      <c r="AG669" s="149"/>
      <c r="AH669" s="184"/>
    </row>
    <row r="670" spans="2:34" ht="35.1" customHeight="1" thickTop="1" thickBot="1" x14ac:dyDescent="0.25">
      <c r="B670" s="141"/>
      <c r="C670" s="141"/>
      <c r="D670" s="141"/>
      <c r="E670" s="141"/>
      <c r="F670" s="141"/>
      <c r="G670" s="141"/>
      <c r="H670" s="141"/>
      <c r="I670" s="158"/>
      <c r="J670" s="18" t="s">
        <v>30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e">
        <f t="shared" si="116"/>
        <v>#DIV/0!</v>
      </c>
      <c r="AA670" s="147" t="e">
        <f>AVERAGE(Z670,Z671,Z672,Z675)</f>
        <v>#DIV/0!</v>
      </c>
      <c r="AB670" s="150"/>
      <c r="AC670" s="151"/>
      <c r="AD670" s="151"/>
      <c r="AE670" s="163"/>
      <c r="AF670" s="150"/>
      <c r="AG670" s="150"/>
      <c r="AH670" s="182" t="e">
        <f t="shared" ref="AH670" si="121">(AC670)/AB670</f>
        <v>#DIV/0!</v>
      </c>
    </row>
    <row r="671" spans="2:34" ht="35.1" customHeight="1" thickTop="1" thickBot="1" x14ac:dyDescent="0.25">
      <c r="B671" s="142"/>
      <c r="C671" s="142"/>
      <c r="D671" s="142"/>
      <c r="E671" s="142"/>
      <c r="F671" s="142"/>
      <c r="G671" s="142"/>
      <c r="H671" s="142"/>
      <c r="I671" s="159"/>
      <c r="J671" s="18" t="s">
        <v>29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e">
        <f t="shared" si="116"/>
        <v>#DIV/0!</v>
      </c>
      <c r="AA671" s="148"/>
      <c r="AB671" s="148"/>
      <c r="AC671" s="152"/>
      <c r="AD671" s="152"/>
      <c r="AE671" s="164"/>
      <c r="AF671" s="148"/>
      <c r="AG671" s="148"/>
      <c r="AH671" s="183"/>
    </row>
    <row r="672" spans="2:34" ht="35.1" customHeight="1" thickTop="1" thickBot="1" x14ac:dyDescent="0.25">
      <c r="B672" s="142"/>
      <c r="C672" s="142"/>
      <c r="D672" s="142"/>
      <c r="E672" s="142"/>
      <c r="F672" s="142"/>
      <c r="G672" s="142"/>
      <c r="H672" s="142"/>
      <c r="I672" s="159"/>
      <c r="J672" s="18" t="s">
        <v>28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e">
        <f t="shared" si="116"/>
        <v>#DIV/0!</v>
      </c>
      <c r="AA672" s="148"/>
      <c r="AB672" s="148"/>
      <c r="AC672" s="152"/>
      <c r="AD672" s="152"/>
      <c r="AE672" s="164"/>
      <c r="AF672" s="148"/>
      <c r="AG672" s="148"/>
      <c r="AH672" s="183"/>
    </row>
    <row r="673" spans="2:34" ht="35.1" customHeight="1" thickTop="1" thickBot="1" x14ac:dyDescent="0.25">
      <c r="B673" s="142"/>
      <c r="C673" s="142"/>
      <c r="D673" s="142"/>
      <c r="E673" s="142"/>
      <c r="F673" s="142"/>
      <c r="G673" s="142"/>
      <c r="H673" s="142"/>
      <c r="I673" s="159"/>
      <c r="J673" s="18" t="s">
        <v>27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e">
        <f t="shared" si="116"/>
        <v>#DIV/0!</v>
      </c>
      <c r="AA673" s="148"/>
      <c r="AB673" s="148"/>
      <c r="AC673" s="152"/>
      <c r="AD673" s="152"/>
      <c r="AE673" s="164"/>
      <c r="AF673" s="148"/>
      <c r="AG673" s="148"/>
      <c r="AH673" s="183"/>
    </row>
    <row r="674" spans="2:34" ht="35.1" customHeight="1" thickTop="1" thickBot="1" x14ac:dyDescent="0.25">
      <c r="B674" s="142"/>
      <c r="C674" s="142"/>
      <c r="D674" s="142"/>
      <c r="E674" s="142"/>
      <c r="F674" s="142"/>
      <c r="G674" s="142"/>
      <c r="H674" s="142"/>
      <c r="I674" s="159"/>
      <c r="J674" s="18" t="s">
        <v>26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e">
        <f t="shared" si="116"/>
        <v>#DIV/0!</v>
      </c>
      <c r="AA674" s="148"/>
      <c r="AB674" s="148"/>
      <c r="AC674" s="152"/>
      <c r="AD674" s="152"/>
      <c r="AE674" s="164"/>
      <c r="AF674" s="148"/>
      <c r="AG674" s="148"/>
      <c r="AH674" s="183"/>
    </row>
    <row r="675" spans="2:34" ht="35.1" customHeight="1" thickTop="1" thickBot="1" x14ac:dyDescent="0.25">
      <c r="B675" s="143"/>
      <c r="C675" s="143"/>
      <c r="D675" s="143"/>
      <c r="E675" s="143"/>
      <c r="F675" s="143"/>
      <c r="G675" s="143"/>
      <c r="H675" s="143"/>
      <c r="I675" s="160"/>
      <c r="J675" s="12" t="s">
        <v>25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e">
        <f t="shared" si="116"/>
        <v>#DIV/0!</v>
      </c>
      <c r="AA675" s="149"/>
      <c r="AB675" s="149"/>
      <c r="AC675" s="153"/>
      <c r="AD675" s="153"/>
      <c r="AE675" s="165"/>
      <c r="AF675" s="149"/>
      <c r="AG675" s="149"/>
      <c r="AH675" s="184"/>
    </row>
    <row r="676" spans="2:34" ht="35.1" customHeight="1" thickTop="1" thickBot="1" x14ac:dyDescent="0.25">
      <c r="B676" s="141"/>
      <c r="C676" s="141"/>
      <c r="D676" s="141"/>
      <c r="E676" s="141"/>
      <c r="F676" s="141"/>
      <c r="G676" s="141"/>
      <c r="H676" s="141"/>
      <c r="I676" s="158"/>
      <c r="J676" s="18" t="s">
        <v>30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e">
        <f t="shared" si="116"/>
        <v>#DIV/0!</v>
      </c>
      <c r="AA676" s="147" t="e">
        <f>AVERAGE(Z676,Z677,Z678,Z681)</f>
        <v>#DIV/0!</v>
      </c>
      <c r="AB676" s="150"/>
      <c r="AC676" s="151"/>
      <c r="AD676" s="151"/>
      <c r="AE676" s="163"/>
      <c r="AF676" s="150"/>
      <c r="AG676" s="150"/>
      <c r="AH676" s="182" t="e">
        <f t="shared" ref="AH676" si="122">(AC676)/AB676</f>
        <v>#DIV/0!</v>
      </c>
    </row>
    <row r="677" spans="2:34" ht="35.1" customHeight="1" thickTop="1" thickBot="1" x14ac:dyDescent="0.25">
      <c r="B677" s="142"/>
      <c r="C677" s="142"/>
      <c r="D677" s="142"/>
      <c r="E677" s="142"/>
      <c r="F677" s="142"/>
      <c r="G677" s="142"/>
      <c r="H677" s="142"/>
      <c r="I677" s="159"/>
      <c r="J677" s="18" t="s">
        <v>29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e">
        <f t="shared" si="116"/>
        <v>#DIV/0!</v>
      </c>
      <c r="AA677" s="148"/>
      <c r="AB677" s="148"/>
      <c r="AC677" s="152"/>
      <c r="AD677" s="152"/>
      <c r="AE677" s="164"/>
      <c r="AF677" s="148"/>
      <c r="AG677" s="148"/>
      <c r="AH677" s="183"/>
    </row>
    <row r="678" spans="2:34" ht="35.1" customHeight="1" thickTop="1" thickBot="1" x14ac:dyDescent="0.25">
      <c r="B678" s="142"/>
      <c r="C678" s="142"/>
      <c r="D678" s="142"/>
      <c r="E678" s="142"/>
      <c r="F678" s="142"/>
      <c r="G678" s="142"/>
      <c r="H678" s="142"/>
      <c r="I678" s="159"/>
      <c r="J678" s="18" t="s">
        <v>28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e">
        <f t="shared" si="116"/>
        <v>#DIV/0!</v>
      </c>
      <c r="AA678" s="148"/>
      <c r="AB678" s="148"/>
      <c r="AC678" s="152"/>
      <c r="AD678" s="152"/>
      <c r="AE678" s="164"/>
      <c r="AF678" s="148"/>
      <c r="AG678" s="148"/>
      <c r="AH678" s="183"/>
    </row>
    <row r="679" spans="2:34" ht="35.1" customHeight="1" thickTop="1" thickBot="1" x14ac:dyDescent="0.25">
      <c r="B679" s="142"/>
      <c r="C679" s="142"/>
      <c r="D679" s="142"/>
      <c r="E679" s="142"/>
      <c r="F679" s="142"/>
      <c r="G679" s="142"/>
      <c r="H679" s="142"/>
      <c r="I679" s="159"/>
      <c r="J679" s="18" t="s">
        <v>27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e">
        <f t="shared" si="116"/>
        <v>#DIV/0!</v>
      </c>
      <c r="AA679" s="148"/>
      <c r="AB679" s="148"/>
      <c r="AC679" s="152"/>
      <c r="AD679" s="152"/>
      <c r="AE679" s="164"/>
      <c r="AF679" s="148"/>
      <c r="AG679" s="148"/>
      <c r="AH679" s="183"/>
    </row>
    <row r="680" spans="2:34" ht="35.1" customHeight="1" thickTop="1" thickBot="1" x14ac:dyDescent="0.25">
      <c r="B680" s="142"/>
      <c r="C680" s="142"/>
      <c r="D680" s="142"/>
      <c r="E680" s="142"/>
      <c r="F680" s="142"/>
      <c r="G680" s="142"/>
      <c r="H680" s="142"/>
      <c r="I680" s="159"/>
      <c r="J680" s="18" t="s">
        <v>26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e">
        <f t="shared" si="116"/>
        <v>#DIV/0!</v>
      </c>
      <c r="AA680" s="148"/>
      <c r="AB680" s="148"/>
      <c r="AC680" s="152"/>
      <c r="AD680" s="152"/>
      <c r="AE680" s="164"/>
      <c r="AF680" s="148"/>
      <c r="AG680" s="148"/>
      <c r="AH680" s="183"/>
    </row>
    <row r="681" spans="2:34" ht="35.1" customHeight="1" thickTop="1" thickBot="1" x14ac:dyDescent="0.25">
      <c r="B681" s="143"/>
      <c r="C681" s="143"/>
      <c r="D681" s="143"/>
      <c r="E681" s="143"/>
      <c r="F681" s="143"/>
      <c r="G681" s="143"/>
      <c r="H681" s="143"/>
      <c r="I681" s="160"/>
      <c r="J681" s="12" t="s">
        <v>25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e">
        <f t="shared" si="116"/>
        <v>#DIV/0!</v>
      </c>
      <c r="AA681" s="149"/>
      <c r="AB681" s="149"/>
      <c r="AC681" s="153"/>
      <c r="AD681" s="153"/>
      <c r="AE681" s="165"/>
      <c r="AF681" s="149"/>
      <c r="AG681" s="149"/>
      <c r="AH681" s="184"/>
    </row>
    <row r="682" spans="2:34" ht="35.1" customHeight="1" thickTop="1" thickBot="1" x14ac:dyDescent="0.25">
      <c r="B682" s="141"/>
      <c r="C682" s="141"/>
      <c r="D682" s="141"/>
      <c r="E682" s="141"/>
      <c r="F682" s="141"/>
      <c r="G682" s="141"/>
      <c r="H682" s="141"/>
      <c r="I682" s="158"/>
      <c r="J682" s="18" t="s">
        <v>30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e">
        <f t="shared" si="116"/>
        <v>#DIV/0!</v>
      </c>
      <c r="AA682" s="147" t="e">
        <f>AVERAGE(Z682,Z683,Z684,Z687)</f>
        <v>#DIV/0!</v>
      </c>
      <c r="AB682" s="150"/>
      <c r="AC682" s="151"/>
      <c r="AD682" s="151"/>
      <c r="AE682" s="163"/>
      <c r="AF682" s="150"/>
      <c r="AG682" s="150"/>
      <c r="AH682" s="182" t="e">
        <f t="shared" ref="AH682" si="123">(AC682)/AB682</f>
        <v>#DIV/0!</v>
      </c>
    </row>
    <row r="683" spans="2:34" ht="35.1" customHeight="1" thickTop="1" thickBot="1" x14ac:dyDescent="0.25">
      <c r="B683" s="142"/>
      <c r="C683" s="142"/>
      <c r="D683" s="142"/>
      <c r="E683" s="142"/>
      <c r="F683" s="142"/>
      <c r="G683" s="142"/>
      <c r="H683" s="142"/>
      <c r="I683" s="159"/>
      <c r="J683" s="18" t="s">
        <v>29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e">
        <f t="shared" si="116"/>
        <v>#DIV/0!</v>
      </c>
      <c r="AA683" s="148"/>
      <c r="AB683" s="148"/>
      <c r="AC683" s="152"/>
      <c r="AD683" s="152"/>
      <c r="AE683" s="164"/>
      <c r="AF683" s="148"/>
      <c r="AG683" s="148"/>
      <c r="AH683" s="183"/>
    </row>
    <row r="684" spans="2:34" ht="35.1" customHeight="1" thickTop="1" thickBot="1" x14ac:dyDescent="0.25">
      <c r="B684" s="142"/>
      <c r="C684" s="142"/>
      <c r="D684" s="142"/>
      <c r="E684" s="142"/>
      <c r="F684" s="142"/>
      <c r="G684" s="142"/>
      <c r="H684" s="142"/>
      <c r="I684" s="159"/>
      <c r="J684" s="18" t="s">
        <v>28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e">
        <f t="shared" si="116"/>
        <v>#DIV/0!</v>
      </c>
      <c r="AA684" s="148"/>
      <c r="AB684" s="148"/>
      <c r="AC684" s="152"/>
      <c r="AD684" s="152"/>
      <c r="AE684" s="164"/>
      <c r="AF684" s="148"/>
      <c r="AG684" s="148"/>
      <c r="AH684" s="183"/>
    </row>
    <row r="685" spans="2:34" ht="35.1" customHeight="1" thickTop="1" thickBot="1" x14ac:dyDescent="0.25">
      <c r="B685" s="142"/>
      <c r="C685" s="142"/>
      <c r="D685" s="142"/>
      <c r="E685" s="142"/>
      <c r="F685" s="142"/>
      <c r="G685" s="142"/>
      <c r="H685" s="142"/>
      <c r="I685" s="159"/>
      <c r="J685" s="18" t="s">
        <v>27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e">
        <f t="shared" si="116"/>
        <v>#DIV/0!</v>
      </c>
      <c r="AA685" s="148"/>
      <c r="AB685" s="148"/>
      <c r="AC685" s="152"/>
      <c r="AD685" s="152"/>
      <c r="AE685" s="164"/>
      <c r="AF685" s="148"/>
      <c r="AG685" s="148"/>
      <c r="AH685" s="183"/>
    </row>
    <row r="686" spans="2:34" ht="35.1" customHeight="1" thickTop="1" thickBot="1" x14ac:dyDescent="0.25">
      <c r="B686" s="142"/>
      <c r="C686" s="142"/>
      <c r="D686" s="142"/>
      <c r="E686" s="142"/>
      <c r="F686" s="142"/>
      <c r="G686" s="142"/>
      <c r="H686" s="142"/>
      <c r="I686" s="159"/>
      <c r="J686" s="18" t="s">
        <v>26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e">
        <f t="shared" si="116"/>
        <v>#DIV/0!</v>
      </c>
      <c r="AA686" s="148"/>
      <c r="AB686" s="148"/>
      <c r="AC686" s="152"/>
      <c r="AD686" s="152"/>
      <c r="AE686" s="164"/>
      <c r="AF686" s="148"/>
      <c r="AG686" s="148"/>
      <c r="AH686" s="183"/>
    </row>
    <row r="687" spans="2:34" ht="35.1" customHeight="1" thickTop="1" thickBot="1" x14ac:dyDescent="0.25">
      <c r="B687" s="143"/>
      <c r="C687" s="143"/>
      <c r="D687" s="143"/>
      <c r="E687" s="143"/>
      <c r="F687" s="143"/>
      <c r="G687" s="143"/>
      <c r="H687" s="143"/>
      <c r="I687" s="160"/>
      <c r="J687" s="12" t="s">
        <v>25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e">
        <f t="shared" si="116"/>
        <v>#DIV/0!</v>
      </c>
      <c r="AA687" s="149"/>
      <c r="AB687" s="149"/>
      <c r="AC687" s="153"/>
      <c r="AD687" s="153"/>
      <c r="AE687" s="165"/>
      <c r="AF687" s="149"/>
      <c r="AG687" s="149"/>
      <c r="AH687" s="184"/>
    </row>
    <row r="688" spans="2:34" ht="35.1" customHeight="1" thickTop="1" thickBot="1" x14ac:dyDescent="0.25">
      <c r="B688" s="141"/>
      <c r="C688" s="141"/>
      <c r="D688" s="141"/>
      <c r="E688" s="141"/>
      <c r="F688" s="141"/>
      <c r="G688" s="141"/>
      <c r="H688" s="141"/>
      <c r="I688" s="158"/>
      <c r="J688" s="18" t="s">
        <v>30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e">
        <f t="shared" si="116"/>
        <v>#DIV/0!</v>
      </c>
      <c r="AA688" s="147" t="e">
        <f>AVERAGE(Z688,Z689,Z690,Z693)</f>
        <v>#DIV/0!</v>
      </c>
      <c r="AB688" s="150"/>
      <c r="AC688" s="151"/>
      <c r="AD688" s="151"/>
      <c r="AE688" s="163"/>
      <c r="AF688" s="150"/>
      <c r="AG688" s="150"/>
      <c r="AH688" s="182" t="e">
        <f t="shared" ref="AH688" si="124">(AC688)/AB688</f>
        <v>#DIV/0!</v>
      </c>
    </row>
    <row r="689" spans="2:34" ht="35.1" customHeight="1" thickTop="1" thickBot="1" x14ac:dyDescent="0.25">
      <c r="B689" s="142"/>
      <c r="C689" s="142"/>
      <c r="D689" s="142"/>
      <c r="E689" s="142"/>
      <c r="F689" s="142"/>
      <c r="G689" s="142"/>
      <c r="H689" s="142"/>
      <c r="I689" s="159"/>
      <c r="J689" s="18" t="s">
        <v>29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e">
        <f t="shared" si="116"/>
        <v>#DIV/0!</v>
      </c>
      <c r="AA689" s="148"/>
      <c r="AB689" s="148"/>
      <c r="AC689" s="152"/>
      <c r="AD689" s="152"/>
      <c r="AE689" s="164"/>
      <c r="AF689" s="148"/>
      <c r="AG689" s="148"/>
      <c r="AH689" s="183"/>
    </row>
    <row r="690" spans="2:34" ht="35.1" customHeight="1" thickTop="1" thickBot="1" x14ac:dyDescent="0.25">
      <c r="B690" s="142"/>
      <c r="C690" s="142"/>
      <c r="D690" s="142"/>
      <c r="E690" s="142"/>
      <c r="F690" s="142"/>
      <c r="G690" s="142"/>
      <c r="H690" s="142"/>
      <c r="I690" s="159"/>
      <c r="J690" s="18" t="s">
        <v>28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e">
        <f t="shared" si="116"/>
        <v>#DIV/0!</v>
      </c>
      <c r="AA690" s="148"/>
      <c r="AB690" s="148"/>
      <c r="AC690" s="152"/>
      <c r="AD690" s="152"/>
      <c r="AE690" s="164"/>
      <c r="AF690" s="148"/>
      <c r="AG690" s="148"/>
      <c r="AH690" s="183"/>
    </row>
    <row r="691" spans="2:34" ht="35.1" customHeight="1" thickTop="1" thickBot="1" x14ac:dyDescent="0.25">
      <c r="B691" s="142"/>
      <c r="C691" s="142"/>
      <c r="D691" s="142"/>
      <c r="E691" s="142"/>
      <c r="F691" s="142"/>
      <c r="G691" s="142"/>
      <c r="H691" s="142"/>
      <c r="I691" s="159"/>
      <c r="J691" s="18" t="s">
        <v>27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e">
        <f t="shared" si="116"/>
        <v>#DIV/0!</v>
      </c>
      <c r="AA691" s="148"/>
      <c r="AB691" s="148"/>
      <c r="AC691" s="152"/>
      <c r="AD691" s="152"/>
      <c r="AE691" s="164"/>
      <c r="AF691" s="148"/>
      <c r="AG691" s="148"/>
      <c r="AH691" s="183"/>
    </row>
    <row r="692" spans="2:34" ht="35.1" customHeight="1" thickTop="1" thickBot="1" x14ac:dyDescent="0.25">
      <c r="B692" s="142"/>
      <c r="C692" s="142"/>
      <c r="D692" s="142"/>
      <c r="E692" s="142"/>
      <c r="F692" s="142"/>
      <c r="G692" s="142"/>
      <c r="H692" s="142"/>
      <c r="I692" s="159"/>
      <c r="J692" s="18" t="s">
        <v>26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e">
        <f t="shared" si="116"/>
        <v>#DIV/0!</v>
      </c>
      <c r="AA692" s="148"/>
      <c r="AB692" s="148"/>
      <c r="AC692" s="152"/>
      <c r="AD692" s="152"/>
      <c r="AE692" s="164"/>
      <c r="AF692" s="148"/>
      <c r="AG692" s="148"/>
      <c r="AH692" s="183"/>
    </row>
    <row r="693" spans="2:34" ht="35.1" customHeight="1" thickTop="1" thickBot="1" x14ac:dyDescent="0.25">
      <c r="B693" s="143"/>
      <c r="C693" s="143"/>
      <c r="D693" s="143"/>
      <c r="E693" s="143"/>
      <c r="F693" s="143"/>
      <c r="G693" s="143"/>
      <c r="H693" s="143"/>
      <c r="I693" s="160"/>
      <c r="J693" s="12" t="s">
        <v>25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e">
        <f t="shared" si="116"/>
        <v>#DIV/0!</v>
      </c>
      <c r="AA693" s="149"/>
      <c r="AB693" s="149"/>
      <c r="AC693" s="153"/>
      <c r="AD693" s="153"/>
      <c r="AE693" s="165"/>
      <c r="AF693" s="149"/>
      <c r="AG693" s="149"/>
      <c r="AH693" s="184"/>
    </row>
    <row r="694" spans="2:34" ht="35.1" customHeight="1" thickTop="1" thickBot="1" x14ac:dyDescent="0.25">
      <c r="B694" s="141"/>
      <c r="C694" s="141"/>
      <c r="D694" s="141"/>
      <c r="E694" s="141"/>
      <c r="F694" s="141"/>
      <c r="G694" s="141"/>
      <c r="H694" s="141"/>
      <c r="I694" s="158"/>
      <c r="J694" s="18" t="s">
        <v>30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e">
        <f t="shared" si="116"/>
        <v>#DIV/0!</v>
      </c>
      <c r="AA694" s="147" t="e">
        <f>AVERAGE(Z694,Z695,Z696,Z699)</f>
        <v>#DIV/0!</v>
      </c>
      <c r="AB694" s="150"/>
      <c r="AC694" s="151"/>
      <c r="AD694" s="151"/>
      <c r="AE694" s="163"/>
      <c r="AF694" s="150"/>
      <c r="AG694" s="150"/>
      <c r="AH694" s="182" t="e">
        <f t="shared" ref="AH694" si="125">(AC694)/AB694</f>
        <v>#DIV/0!</v>
      </c>
    </row>
    <row r="695" spans="2:34" ht="35.1" customHeight="1" thickTop="1" thickBot="1" x14ac:dyDescent="0.25">
      <c r="B695" s="142"/>
      <c r="C695" s="142"/>
      <c r="D695" s="142"/>
      <c r="E695" s="142"/>
      <c r="F695" s="142"/>
      <c r="G695" s="142"/>
      <c r="H695" s="142"/>
      <c r="I695" s="159"/>
      <c r="J695" s="18" t="s">
        <v>29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e">
        <f t="shared" si="116"/>
        <v>#DIV/0!</v>
      </c>
      <c r="AA695" s="148"/>
      <c r="AB695" s="148"/>
      <c r="AC695" s="152"/>
      <c r="AD695" s="152"/>
      <c r="AE695" s="164"/>
      <c r="AF695" s="148"/>
      <c r="AG695" s="148"/>
      <c r="AH695" s="183"/>
    </row>
    <row r="696" spans="2:34" ht="35.1" customHeight="1" thickTop="1" thickBot="1" x14ac:dyDescent="0.25">
      <c r="B696" s="142"/>
      <c r="C696" s="142"/>
      <c r="D696" s="142"/>
      <c r="E696" s="142"/>
      <c r="F696" s="142"/>
      <c r="G696" s="142"/>
      <c r="H696" s="142"/>
      <c r="I696" s="159"/>
      <c r="J696" s="18" t="s">
        <v>28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e">
        <f t="shared" si="116"/>
        <v>#DIV/0!</v>
      </c>
      <c r="AA696" s="148"/>
      <c r="AB696" s="148"/>
      <c r="AC696" s="152"/>
      <c r="AD696" s="152"/>
      <c r="AE696" s="164"/>
      <c r="AF696" s="148"/>
      <c r="AG696" s="148"/>
      <c r="AH696" s="183"/>
    </row>
    <row r="697" spans="2:34" ht="35.1" customHeight="1" thickTop="1" thickBot="1" x14ac:dyDescent="0.25">
      <c r="B697" s="142"/>
      <c r="C697" s="142"/>
      <c r="D697" s="142"/>
      <c r="E697" s="142"/>
      <c r="F697" s="142"/>
      <c r="G697" s="142"/>
      <c r="H697" s="142"/>
      <c r="I697" s="159"/>
      <c r="J697" s="18" t="s">
        <v>27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e">
        <f t="shared" si="116"/>
        <v>#DIV/0!</v>
      </c>
      <c r="AA697" s="148"/>
      <c r="AB697" s="148"/>
      <c r="AC697" s="152"/>
      <c r="AD697" s="152"/>
      <c r="AE697" s="164"/>
      <c r="AF697" s="148"/>
      <c r="AG697" s="148"/>
      <c r="AH697" s="183"/>
    </row>
    <row r="698" spans="2:34" ht="35.1" customHeight="1" thickTop="1" thickBot="1" x14ac:dyDescent="0.25">
      <c r="B698" s="142"/>
      <c r="C698" s="142"/>
      <c r="D698" s="142"/>
      <c r="E698" s="142"/>
      <c r="F698" s="142"/>
      <c r="G698" s="142"/>
      <c r="H698" s="142"/>
      <c r="I698" s="159"/>
      <c r="J698" s="18" t="s">
        <v>26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e">
        <f t="shared" si="116"/>
        <v>#DIV/0!</v>
      </c>
      <c r="AA698" s="148"/>
      <c r="AB698" s="148"/>
      <c r="AC698" s="152"/>
      <c r="AD698" s="152"/>
      <c r="AE698" s="164"/>
      <c r="AF698" s="148"/>
      <c r="AG698" s="148"/>
      <c r="AH698" s="183"/>
    </row>
    <row r="699" spans="2:34" ht="35.1" customHeight="1" thickTop="1" thickBot="1" x14ac:dyDescent="0.25">
      <c r="B699" s="143"/>
      <c r="C699" s="143"/>
      <c r="D699" s="143"/>
      <c r="E699" s="143"/>
      <c r="F699" s="143"/>
      <c r="G699" s="143"/>
      <c r="H699" s="143"/>
      <c r="I699" s="160"/>
      <c r="J699" s="12" t="s">
        <v>25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e">
        <f t="shared" si="116"/>
        <v>#DIV/0!</v>
      </c>
      <c r="AA699" s="149"/>
      <c r="AB699" s="149"/>
      <c r="AC699" s="153"/>
      <c r="AD699" s="153"/>
      <c r="AE699" s="165"/>
      <c r="AF699" s="149"/>
      <c r="AG699" s="149"/>
      <c r="AH699" s="184"/>
    </row>
    <row r="700" spans="2:34" ht="35.1" customHeight="1" thickTop="1" thickBot="1" x14ac:dyDescent="0.25">
      <c r="B700" s="141"/>
      <c r="C700" s="141"/>
      <c r="D700" s="141"/>
      <c r="E700" s="141"/>
      <c r="F700" s="141"/>
      <c r="G700" s="141"/>
      <c r="H700" s="141"/>
      <c r="I700" s="158"/>
      <c r="J700" s="18" t="s">
        <v>30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e">
        <f t="shared" si="116"/>
        <v>#DIV/0!</v>
      </c>
      <c r="AA700" s="147" t="e">
        <f>AVERAGE(Z700,Z701,Z702,Z705)</f>
        <v>#DIV/0!</v>
      </c>
      <c r="AB700" s="150"/>
      <c r="AC700" s="151"/>
      <c r="AD700" s="151"/>
      <c r="AE700" s="163"/>
      <c r="AF700" s="150"/>
      <c r="AG700" s="150"/>
      <c r="AH700" s="182" t="e">
        <f t="shared" ref="AH700" si="126">(AC700)/AB700</f>
        <v>#DIV/0!</v>
      </c>
    </row>
    <row r="701" spans="2:34" ht="35.1" customHeight="1" thickTop="1" thickBot="1" x14ac:dyDescent="0.25">
      <c r="B701" s="142"/>
      <c r="C701" s="142"/>
      <c r="D701" s="142"/>
      <c r="E701" s="142"/>
      <c r="F701" s="142"/>
      <c r="G701" s="142"/>
      <c r="H701" s="142"/>
      <c r="I701" s="159"/>
      <c r="J701" s="18" t="s">
        <v>29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e">
        <f t="shared" si="116"/>
        <v>#DIV/0!</v>
      </c>
      <c r="AA701" s="148"/>
      <c r="AB701" s="148"/>
      <c r="AC701" s="152"/>
      <c r="AD701" s="152"/>
      <c r="AE701" s="164"/>
      <c r="AF701" s="148"/>
      <c r="AG701" s="148"/>
      <c r="AH701" s="183"/>
    </row>
    <row r="702" spans="2:34" ht="35.1" customHeight="1" thickTop="1" thickBot="1" x14ac:dyDescent="0.25">
      <c r="B702" s="142"/>
      <c r="C702" s="142"/>
      <c r="D702" s="142"/>
      <c r="E702" s="142"/>
      <c r="F702" s="142"/>
      <c r="G702" s="142"/>
      <c r="H702" s="142"/>
      <c r="I702" s="159"/>
      <c r="J702" s="18" t="s">
        <v>28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e">
        <f t="shared" si="116"/>
        <v>#DIV/0!</v>
      </c>
      <c r="AA702" s="148"/>
      <c r="AB702" s="148"/>
      <c r="AC702" s="152"/>
      <c r="AD702" s="152"/>
      <c r="AE702" s="164"/>
      <c r="AF702" s="148"/>
      <c r="AG702" s="148"/>
      <c r="AH702" s="183"/>
    </row>
    <row r="703" spans="2:34" ht="35.1" customHeight="1" thickTop="1" thickBot="1" x14ac:dyDescent="0.25">
      <c r="B703" s="142"/>
      <c r="C703" s="142"/>
      <c r="D703" s="142"/>
      <c r="E703" s="142"/>
      <c r="F703" s="142"/>
      <c r="G703" s="142"/>
      <c r="H703" s="142"/>
      <c r="I703" s="159"/>
      <c r="J703" s="18" t="s">
        <v>27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e">
        <f t="shared" si="116"/>
        <v>#DIV/0!</v>
      </c>
      <c r="AA703" s="148"/>
      <c r="AB703" s="148"/>
      <c r="AC703" s="152"/>
      <c r="AD703" s="152"/>
      <c r="AE703" s="164"/>
      <c r="AF703" s="148"/>
      <c r="AG703" s="148"/>
      <c r="AH703" s="183"/>
    </row>
    <row r="704" spans="2:34" ht="35.1" customHeight="1" thickTop="1" thickBot="1" x14ac:dyDescent="0.25">
      <c r="B704" s="142"/>
      <c r="C704" s="142"/>
      <c r="D704" s="142"/>
      <c r="E704" s="142"/>
      <c r="F704" s="142"/>
      <c r="G704" s="142"/>
      <c r="H704" s="142"/>
      <c r="I704" s="159"/>
      <c r="J704" s="18" t="s">
        <v>26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e">
        <f t="shared" si="116"/>
        <v>#DIV/0!</v>
      </c>
      <c r="AA704" s="148"/>
      <c r="AB704" s="148"/>
      <c r="AC704" s="152"/>
      <c r="AD704" s="152"/>
      <c r="AE704" s="164"/>
      <c r="AF704" s="148"/>
      <c r="AG704" s="148"/>
      <c r="AH704" s="183"/>
    </row>
    <row r="705" spans="2:34" ht="35.1" customHeight="1" thickTop="1" thickBot="1" x14ac:dyDescent="0.25">
      <c r="B705" s="143"/>
      <c r="C705" s="143"/>
      <c r="D705" s="143"/>
      <c r="E705" s="143"/>
      <c r="F705" s="143"/>
      <c r="G705" s="143"/>
      <c r="H705" s="143"/>
      <c r="I705" s="160"/>
      <c r="J705" s="12" t="s">
        <v>25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e">
        <f t="shared" si="116"/>
        <v>#DIV/0!</v>
      </c>
      <c r="AA705" s="149"/>
      <c r="AB705" s="149"/>
      <c r="AC705" s="153"/>
      <c r="AD705" s="153"/>
      <c r="AE705" s="165"/>
      <c r="AF705" s="149"/>
      <c r="AG705" s="149"/>
      <c r="AH705" s="184"/>
    </row>
    <row r="706" spans="2:34" ht="35.1" customHeight="1" thickTop="1" thickBot="1" x14ac:dyDescent="0.25">
      <c r="B706" s="141"/>
      <c r="C706" s="141"/>
      <c r="D706" s="141"/>
      <c r="E706" s="141"/>
      <c r="F706" s="141"/>
      <c r="G706" s="141"/>
      <c r="H706" s="141"/>
      <c r="I706" s="158"/>
      <c r="J706" s="18" t="s">
        <v>30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e">
        <f t="shared" si="116"/>
        <v>#DIV/0!</v>
      </c>
      <c r="AA706" s="147" t="e">
        <f>AVERAGE(Z706,Z707,Z708,Z711)</f>
        <v>#DIV/0!</v>
      </c>
      <c r="AB706" s="150"/>
      <c r="AC706" s="151"/>
      <c r="AD706" s="151"/>
      <c r="AE706" s="163"/>
      <c r="AF706" s="150"/>
      <c r="AG706" s="150"/>
      <c r="AH706" s="182" t="e">
        <f t="shared" ref="AH706" si="127">(AC706)/AB706</f>
        <v>#DIV/0!</v>
      </c>
    </row>
    <row r="707" spans="2:34" ht="35.1" customHeight="1" thickTop="1" thickBot="1" x14ac:dyDescent="0.25">
      <c r="B707" s="142"/>
      <c r="C707" s="142"/>
      <c r="D707" s="142"/>
      <c r="E707" s="142"/>
      <c r="F707" s="142"/>
      <c r="G707" s="142"/>
      <c r="H707" s="142"/>
      <c r="I707" s="159"/>
      <c r="J707" s="18" t="s">
        <v>29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e">
        <f t="shared" si="116"/>
        <v>#DIV/0!</v>
      </c>
      <c r="AA707" s="148"/>
      <c r="AB707" s="148"/>
      <c r="AC707" s="152"/>
      <c r="AD707" s="152"/>
      <c r="AE707" s="164"/>
      <c r="AF707" s="148"/>
      <c r="AG707" s="148"/>
      <c r="AH707" s="183"/>
    </row>
    <row r="708" spans="2:34" ht="35.1" customHeight="1" thickTop="1" thickBot="1" x14ac:dyDescent="0.25">
      <c r="B708" s="142"/>
      <c r="C708" s="142"/>
      <c r="D708" s="142"/>
      <c r="E708" s="142"/>
      <c r="F708" s="142"/>
      <c r="G708" s="142"/>
      <c r="H708" s="142"/>
      <c r="I708" s="159"/>
      <c r="J708" s="18" t="s">
        <v>28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e">
        <f t="shared" ref="Z708:Z771" si="128">(L708)/K708</f>
        <v>#DIV/0!</v>
      </c>
      <c r="AA708" s="148"/>
      <c r="AB708" s="148"/>
      <c r="AC708" s="152"/>
      <c r="AD708" s="152"/>
      <c r="AE708" s="164"/>
      <c r="AF708" s="148"/>
      <c r="AG708" s="148"/>
      <c r="AH708" s="183"/>
    </row>
    <row r="709" spans="2:34" ht="35.1" customHeight="1" thickTop="1" thickBot="1" x14ac:dyDescent="0.25">
      <c r="B709" s="142"/>
      <c r="C709" s="142"/>
      <c r="D709" s="142"/>
      <c r="E709" s="142"/>
      <c r="F709" s="142"/>
      <c r="G709" s="142"/>
      <c r="H709" s="142"/>
      <c r="I709" s="159"/>
      <c r="J709" s="18" t="s">
        <v>27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e">
        <f t="shared" si="128"/>
        <v>#DIV/0!</v>
      </c>
      <c r="AA709" s="148"/>
      <c r="AB709" s="148"/>
      <c r="AC709" s="152"/>
      <c r="AD709" s="152"/>
      <c r="AE709" s="164"/>
      <c r="AF709" s="148"/>
      <c r="AG709" s="148"/>
      <c r="AH709" s="183"/>
    </row>
    <row r="710" spans="2:34" ht="35.1" customHeight="1" thickTop="1" thickBot="1" x14ac:dyDescent="0.25">
      <c r="B710" s="142"/>
      <c r="C710" s="142"/>
      <c r="D710" s="142"/>
      <c r="E710" s="142"/>
      <c r="F710" s="142"/>
      <c r="G710" s="142"/>
      <c r="H710" s="142"/>
      <c r="I710" s="159"/>
      <c r="J710" s="18" t="s">
        <v>26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e">
        <f t="shared" si="128"/>
        <v>#DIV/0!</v>
      </c>
      <c r="AA710" s="148"/>
      <c r="AB710" s="148"/>
      <c r="AC710" s="152"/>
      <c r="AD710" s="152"/>
      <c r="AE710" s="164"/>
      <c r="AF710" s="148"/>
      <c r="AG710" s="148"/>
      <c r="AH710" s="183"/>
    </row>
    <row r="711" spans="2:34" ht="35.1" customHeight="1" thickTop="1" thickBot="1" x14ac:dyDescent="0.25">
      <c r="B711" s="143"/>
      <c r="C711" s="143"/>
      <c r="D711" s="143"/>
      <c r="E711" s="143"/>
      <c r="F711" s="143"/>
      <c r="G711" s="143"/>
      <c r="H711" s="143"/>
      <c r="I711" s="160"/>
      <c r="J711" s="12" t="s">
        <v>25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e">
        <f t="shared" si="128"/>
        <v>#DIV/0!</v>
      </c>
      <c r="AA711" s="149"/>
      <c r="AB711" s="149"/>
      <c r="AC711" s="153"/>
      <c r="AD711" s="153"/>
      <c r="AE711" s="165"/>
      <c r="AF711" s="149"/>
      <c r="AG711" s="149"/>
      <c r="AH711" s="184"/>
    </row>
    <row r="712" spans="2:34" ht="35.1" customHeight="1" thickTop="1" thickBot="1" x14ac:dyDescent="0.25">
      <c r="B712" s="141"/>
      <c r="C712" s="141"/>
      <c r="D712" s="141"/>
      <c r="E712" s="141"/>
      <c r="F712" s="141"/>
      <c r="G712" s="141"/>
      <c r="H712" s="141"/>
      <c r="I712" s="158"/>
      <c r="J712" s="18" t="s">
        <v>30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e">
        <f t="shared" si="128"/>
        <v>#DIV/0!</v>
      </c>
      <c r="AA712" s="147" t="e">
        <f>AVERAGE(Z712,Z713,Z714,Z717)</f>
        <v>#DIV/0!</v>
      </c>
      <c r="AB712" s="150"/>
      <c r="AC712" s="151"/>
      <c r="AD712" s="151"/>
      <c r="AE712" s="163"/>
      <c r="AF712" s="150"/>
      <c r="AG712" s="150"/>
      <c r="AH712" s="182" t="e">
        <f t="shared" ref="AH712" si="129">(AC712)/AB712</f>
        <v>#DIV/0!</v>
      </c>
    </row>
    <row r="713" spans="2:34" ht="35.1" customHeight="1" thickTop="1" thickBot="1" x14ac:dyDescent="0.25">
      <c r="B713" s="142"/>
      <c r="C713" s="142"/>
      <c r="D713" s="142"/>
      <c r="E713" s="142"/>
      <c r="F713" s="142"/>
      <c r="G713" s="142"/>
      <c r="H713" s="142"/>
      <c r="I713" s="159"/>
      <c r="J713" s="18" t="s">
        <v>29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e">
        <f t="shared" si="128"/>
        <v>#DIV/0!</v>
      </c>
      <c r="AA713" s="148"/>
      <c r="AB713" s="148"/>
      <c r="AC713" s="152"/>
      <c r="AD713" s="152"/>
      <c r="AE713" s="164"/>
      <c r="AF713" s="148"/>
      <c r="AG713" s="148"/>
      <c r="AH713" s="183"/>
    </row>
    <row r="714" spans="2:34" ht="35.1" customHeight="1" thickTop="1" thickBot="1" x14ac:dyDescent="0.25">
      <c r="B714" s="142"/>
      <c r="C714" s="142"/>
      <c r="D714" s="142"/>
      <c r="E714" s="142"/>
      <c r="F714" s="142"/>
      <c r="G714" s="142"/>
      <c r="H714" s="142"/>
      <c r="I714" s="159"/>
      <c r="J714" s="18" t="s">
        <v>28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e">
        <f t="shared" si="128"/>
        <v>#DIV/0!</v>
      </c>
      <c r="AA714" s="148"/>
      <c r="AB714" s="148"/>
      <c r="AC714" s="152"/>
      <c r="AD714" s="152"/>
      <c r="AE714" s="164"/>
      <c r="AF714" s="148"/>
      <c r="AG714" s="148"/>
      <c r="AH714" s="183"/>
    </row>
    <row r="715" spans="2:34" ht="35.1" customHeight="1" thickTop="1" thickBot="1" x14ac:dyDescent="0.25">
      <c r="B715" s="142"/>
      <c r="C715" s="142"/>
      <c r="D715" s="142"/>
      <c r="E715" s="142"/>
      <c r="F715" s="142"/>
      <c r="G715" s="142"/>
      <c r="H715" s="142"/>
      <c r="I715" s="159"/>
      <c r="J715" s="18" t="s">
        <v>27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e">
        <f t="shared" si="128"/>
        <v>#DIV/0!</v>
      </c>
      <c r="AA715" s="148"/>
      <c r="AB715" s="148"/>
      <c r="AC715" s="152"/>
      <c r="AD715" s="152"/>
      <c r="AE715" s="164"/>
      <c r="AF715" s="148"/>
      <c r="AG715" s="148"/>
      <c r="AH715" s="183"/>
    </row>
    <row r="716" spans="2:34" ht="35.1" customHeight="1" thickTop="1" thickBot="1" x14ac:dyDescent="0.25">
      <c r="B716" s="142"/>
      <c r="C716" s="142"/>
      <c r="D716" s="142"/>
      <c r="E716" s="142"/>
      <c r="F716" s="142"/>
      <c r="G716" s="142"/>
      <c r="H716" s="142"/>
      <c r="I716" s="159"/>
      <c r="J716" s="18" t="s">
        <v>26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e">
        <f t="shared" si="128"/>
        <v>#DIV/0!</v>
      </c>
      <c r="AA716" s="148"/>
      <c r="AB716" s="148"/>
      <c r="AC716" s="152"/>
      <c r="AD716" s="152"/>
      <c r="AE716" s="164"/>
      <c r="AF716" s="148"/>
      <c r="AG716" s="148"/>
      <c r="AH716" s="183"/>
    </row>
    <row r="717" spans="2:34" ht="35.1" customHeight="1" thickTop="1" thickBot="1" x14ac:dyDescent="0.25">
      <c r="B717" s="143"/>
      <c r="C717" s="143"/>
      <c r="D717" s="143"/>
      <c r="E717" s="143"/>
      <c r="F717" s="143"/>
      <c r="G717" s="143"/>
      <c r="H717" s="143"/>
      <c r="I717" s="160"/>
      <c r="J717" s="12" t="s">
        <v>25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e">
        <f t="shared" si="128"/>
        <v>#DIV/0!</v>
      </c>
      <c r="AA717" s="149"/>
      <c r="AB717" s="149"/>
      <c r="AC717" s="153"/>
      <c r="AD717" s="153"/>
      <c r="AE717" s="165"/>
      <c r="AF717" s="149"/>
      <c r="AG717" s="149"/>
      <c r="AH717" s="184"/>
    </row>
    <row r="718" spans="2:34" ht="35.1" customHeight="1" thickTop="1" thickBot="1" x14ac:dyDescent="0.25">
      <c r="B718" s="141"/>
      <c r="C718" s="141"/>
      <c r="D718" s="141"/>
      <c r="E718" s="141"/>
      <c r="F718" s="141"/>
      <c r="G718" s="141"/>
      <c r="H718" s="141"/>
      <c r="I718" s="158"/>
      <c r="J718" s="18" t="s">
        <v>30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e">
        <f t="shared" si="128"/>
        <v>#DIV/0!</v>
      </c>
      <c r="AA718" s="147" t="e">
        <f>AVERAGE(Z718,Z719,Z720,Z723)</f>
        <v>#DIV/0!</v>
      </c>
      <c r="AB718" s="150"/>
      <c r="AC718" s="151"/>
      <c r="AD718" s="151"/>
      <c r="AE718" s="163"/>
      <c r="AF718" s="150"/>
      <c r="AG718" s="150"/>
      <c r="AH718" s="182" t="e">
        <f t="shared" ref="AH718" si="130">(AC718)/AB718</f>
        <v>#DIV/0!</v>
      </c>
    </row>
    <row r="719" spans="2:34" ht="35.1" customHeight="1" thickTop="1" thickBot="1" x14ac:dyDescent="0.25">
      <c r="B719" s="142"/>
      <c r="C719" s="142"/>
      <c r="D719" s="142"/>
      <c r="E719" s="142"/>
      <c r="F719" s="142"/>
      <c r="G719" s="142"/>
      <c r="H719" s="142"/>
      <c r="I719" s="159"/>
      <c r="J719" s="18" t="s">
        <v>29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e">
        <f t="shared" si="128"/>
        <v>#DIV/0!</v>
      </c>
      <c r="AA719" s="148"/>
      <c r="AB719" s="148"/>
      <c r="AC719" s="152"/>
      <c r="AD719" s="152"/>
      <c r="AE719" s="164"/>
      <c r="AF719" s="148"/>
      <c r="AG719" s="148"/>
      <c r="AH719" s="183"/>
    </row>
    <row r="720" spans="2:34" ht="35.1" customHeight="1" thickTop="1" thickBot="1" x14ac:dyDescent="0.25">
      <c r="B720" s="142"/>
      <c r="C720" s="142"/>
      <c r="D720" s="142"/>
      <c r="E720" s="142"/>
      <c r="F720" s="142"/>
      <c r="G720" s="142"/>
      <c r="H720" s="142"/>
      <c r="I720" s="159"/>
      <c r="J720" s="18" t="s">
        <v>28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e">
        <f t="shared" si="128"/>
        <v>#DIV/0!</v>
      </c>
      <c r="AA720" s="148"/>
      <c r="AB720" s="148"/>
      <c r="AC720" s="152"/>
      <c r="AD720" s="152"/>
      <c r="AE720" s="164"/>
      <c r="AF720" s="148"/>
      <c r="AG720" s="148"/>
      <c r="AH720" s="183"/>
    </row>
    <row r="721" spans="2:34" ht="35.1" customHeight="1" thickTop="1" thickBot="1" x14ac:dyDescent="0.25">
      <c r="B721" s="142"/>
      <c r="C721" s="142"/>
      <c r="D721" s="142"/>
      <c r="E721" s="142"/>
      <c r="F721" s="142"/>
      <c r="G721" s="142"/>
      <c r="H721" s="142"/>
      <c r="I721" s="159"/>
      <c r="J721" s="18" t="s">
        <v>27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e">
        <f t="shared" si="128"/>
        <v>#DIV/0!</v>
      </c>
      <c r="AA721" s="148"/>
      <c r="AB721" s="148"/>
      <c r="AC721" s="152"/>
      <c r="AD721" s="152"/>
      <c r="AE721" s="164"/>
      <c r="AF721" s="148"/>
      <c r="AG721" s="148"/>
      <c r="AH721" s="183"/>
    </row>
    <row r="722" spans="2:34" ht="35.1" customHeight="1" thickTop="1" thickBot="1" x14ac:dyDescent="0.25">
      <c r="B722" s="142"/>
      <c r="C722" s="142"/>
      <c r="D722" s="142"/>
      <c r="E722" s="142"/>
      <c r="F722" s="142"/>
      <c r="G722" s="142"/>
      <c r="H722" s="142"/>
      <c r="I722" s="159"/>
      <c r="J722" s="18" t="s">
        <v>26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e">
        <f t="shared" si="128"/>
        <v>#DIV/0!</v>
      </c>
      <c r="AA722" s="148"/>
      <c r="AB722" s="148"/>
      <c r="AC722" s="152"/>
      <c r="AD722" s="152"/>
      <c r="AE722" s="164"/>
      <c r="AF722" s="148"/>
      <c r="AG722" s="148"/>
      <c r="AH722" s="183"/>
    </row>
    <row r="723" spans="2:34" ht="35.1" customHeight="1" thickTop="1" thickBot="1" x14ac:dyDescent="0.25">
      <c r="B723" s="143"/>
      <c r="C723" s="143"/>
      <c r="D723" s="143"/>
      <c r="E723" s="143"/>
      <c r="F723" s="143"/>
      <c r="G723" s="143"/>
      <c r="H723" s="143"/>
      <c r="I723" s="160"/>
      <c r="J723" s="12" t="s">
        <v>25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e">
        <f t="shared" si="128"/>
        <v>#DIV/0!</v>
      </c>
      <c r="AA723" s="149"/>
      <c r="AB723" s="149"/>
      <c r="AC723" s="153"/>
      <c r="AD723" s="153"/>
      <c r="AE723" s="165"/>
      <c r="AF723" s="149"/>
      <c r="AG723" s="149"/>
      <c r="AH723" s="184"/>
    </row>
    <row r="724" spans="2:34" ht="35.1" customHeight="1" thickTop="1" thickBot="1" x14ac:dyDescent="0.25">
      <c r="B724" s="141"/>
      <c r="C724" s="141"/>
      <c r="D724" s="141"/>
      <c r="E724" s="141"/>
      <c r="F724" s="141"/>
      <c r="G724" s="141"/>
      <c r="H724" s="141"/>
      <c r="I724" s="158"/>
      <c r="J724" s="18" t="s">
        <v>30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e">
        <f t="shared" si="128"/>
        <v>#DIV/0!</v>
      </c>
      <c r="AA724" s="147" t="e">
        <f>AVERAGE(Z724,Z725,Z726,Z729)</f>
        <v>#DIV/0!</v>
      </c>
      <c r="AB724" s="150"/>
      <c r="AC724" s="151"/>
      <c r="AD724" s="151"/>
      <c r="AE724" s="163"/>
      <c r="AF724" s="150"/>
      <c r="AG724" s="150"/>
      <c r="AH724" s="182" t="e">
        <f t="shared" ref="AH724" si="131">(AC724)/AB724</f>
        <v>#DIV/0!</v>
      </c>
    </row>
    <row r="725" spans="2:34" ht="35.1" customHeight="1" thickTop="1" thickBot="1" x14ac:dyDescent="0.25">
      <c r="B725" s="142"/>
      <c r="C725" s="142"/>
      <c r="D725" s="142"/>
      <c r="E725" s="142"/>
      <c r="F725" s="142"/>
      <c r="G725" s="142"/>
      <c r="H725" s="142"/>
      <c r="I725" s="159"/>
      <c r="J725" s="18" t="s">
        <v>29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e">
        <f t="shared" si="128"/>
        <v>#DIV/0!</v>
      </c>
      <c r="AA725" s="148"/>
      <c r="AB725" s="148"/>
      <c r="AC725" s="152"/>
      <c r="AD725" s="152"/>
      <c r="AE725" s="164"/>
      <c r="AF725" s="148"/>
      <c r="AG725" s="148"/>
      <c r="AH725" s="183"/>
    </row>
    <row r="726" spans="2:34" ht="35.1" customHeight="1" thickTop="1" thickBot="1" x14ac:dyDescent="0.25">
      <c r="B726" s="142"/>
      <c r="C726" s="142"/>
      <c r="D726" s="142"/>
      <c r="E726" s="142"/>
      <c r="F726" s="142"/>
      <c r="G726" s="142"/>
      <c r="H726" s="142"/>
      <c r="I726" s="159"/>
      <c r="J726" s="18" t="s">
        <v>28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e">
        <f t="shared" si="128"/>
        <v>#DIV/0!</v>
      </c>
      <c r="AA726" s="148"/>
      <c r="AB726" s="148"/>
      <c r="AC726" s="152"/>
      <c r="AD726" s="152"/>
      <c r="AE726" s="164"/>
      <c r="AF726" s="148"/>
      <c r="AG726" s="148"/>
      <c r="AH726" s="183"/>
    </row>
    <row r="727" spans="2:34" ht="35.1" customHeight="1" thickTop="1" thickBot="1" x14ac:dyDescent="0.25">
      <c r="B727" s="142"/>
      <c r="C727" s="142"/>
      <c r="D727" s="142"/>
      <c r="E727" s="142"/>
      <c r="F727" s="142"/>
      <c r="G727" s="142"/>
      <c r="H727" s="142"/>
      <c r="I727" s="159"/>
      <c r="J727" s="18" t="s">
        <v>27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e">
        <f t="shared" si="128"/>
        <v>#DIV/0!</v>
      </c>
      <c r="AA727" s="148"/>
      <c r="AB727" s="148"/>
      <c r="AC727" s="152"/>
      <c r="AD727" s="152"/>
      <c r="AE727" s="164"/>
      <c r="AF727" s="148"/>
      <c r="AG727" s="148"/>
      <c r="AH727" s="183"/>
    </row>
    <row r="728" spans="2:34" ht="35.1" customHeight="1" thickTop="1" thickBot="1" x14ac:dyDescent="0.25">
      <c r="B728" s="142"/>
      <c r="C728" s="142"/>
      <c r="D728" s="142"/>
      <c r="E728" s="142"/>
      <c r="F728" s="142"/>
      <c r="G728" s="142"/>
      <c r="H728" s="142"/>
      <c r="I728" s="159"/>
      <c r="J728" s="18" t="s">
        <v>26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e">
        <f t="shared" si="128"/>
        <v>#DIV/0!</v>
      </c>
      <c r="AA728" s="148"/>
      <c r="AB728" s="148"/>
      <c r="AC728" s="152"/>
      <c r="AD728" s="152"/>
      <c r="AE728" s="164"/>
      <c r="AF728" s="148"/>
      <c r="AG728" s="148"/>
      <c r="AH728" s="183"/>
    </row>
    <row r="729" spans="2:34" ht="35.1" customHeight="1" thickTop="1" thickBot="1" x14ac:dyDescent="0.25">
      <c r="B729" s="143"/>
      <c r="C729" s="143"/>
      <c r="D729" s="143"/>
      <c r="E729" s="143"/>
      <c r="F729" s="143"/>
      <c r="G729" s="143"/>
      <c r="H729" s="143"/>
      <c r="I729" s="160"/>
      <c r="J729" s="12" t="s">
        <v>25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e">
        <f t="shared" si="128"/>
        <v>#DIV/0!</v>
      </c>
      <c r="AA729" s="149"/>
      <c r="AB729" s="149"/>
      <c r="AC729" s="153"/>
      <c r="AD729" s="153"/>
      <c r="AE729" s="165"/>
      <c r="AF729" s="149"/>
      <c r="AG729" s="149"/>
      <c r="AH729" s="184"/>
    </row>
    <row r="730" spans="2:34" ht="35.1" customHeight="1" thickTop="1" thickBot="1" x14ac:dyDescent="0.25">
      <c r="B730" s="141"/>
      <c r="C730" s="141"/>
      <c r="D730" s="141"/>
      <c r="E730" s="141"/>
      <c r="F730" s="141"/>
      <c r="G730" s="141"/>
      <c r="H730" s="141"/>
      <c r="I730" s="158"/>
      <c r="J730" s="18" t="s">
        <v>30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e">
        <f t="shared" si="128"/>
        <v>#DIV/0!</v>
      </c>
      <c r="AA730" s="147" t="e">
        <f>AVERAGE(Z730,Z731,Z732,Z735)</f>
        <v>#DIV/0!</v>
      </c>
      <c r="AB730" s="150"/>
      <c r="AC730" s="151"/>
      <c r="AD730" s="151"/>
      <c r="AE730" s="163"/>
      <c r="AF730" s="150"/>
      <c r="AG730" s="150"/>
      <c r="AH730" s="182" t="e">
        <f t="shared" ref="AH730" si="132">(AC730)/AB730</f>
        <v>#DIV/0!</v>
      </c>
    </row>
    <row r="731" spans="2:34" ht="35.1" customHeight="1" thickTop="1" thickBot="1" x14ac:dyDescent="0.25">
      <c r="B731" s="142"/>
      <c r="C731" s="142"/>
      <c r="D731" s="142"/>
      <c r="E731" s="142"/>
      <c r="F731" s="142"/>
      <c r="G731" s="142"/>
      <c r="H731" s="142"/>
      <c r="I731" s="159"/>
      <c r="J731" s="18" t="s">
        <v>29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e">
        <f t="shared" si="128"/>
        <v>#DIV/0!</v>
      </c>
      <c r="AA731" s="148"/>
      <c r="AB731" s="148"/>
      <c r="AC731" s="152"/>
      <c r="AD731" s="152"/>
      <c r="AE731" s="164"/>
      <c r="AF731" s="148"/>
      <c r="AG731" s="148"/>
      <c r="AH731" s="183"/>
    </row>
    <row r="732" spans="2:34" ht="35.1" customHeight="1" thickTop="1" thickBot="1" x14ac:dyDescent="0.25">
      <c r="B732" s="142"/>
      <c r="C732" s="142"/>
      <c r="D732" s="142"/>
      <c r="E732" s="142"/>
      <c r="F732" s="142"/>
      <c r="G732" s="142"/>
      <c r="H732" s="142"/>
      <c r="I732" s="159"/>
      <c r="J732" s="18" t="s">
        <v>28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e">
        <f t="shared" si="128"/>
        <v>#DIV/0!</v>
      </c>
      <c r="AA732" s="148"/>
      <c r="AB732" s="148"/>
      <c r="AC732" s="152"/>
      <c r="AD732" s="152"/>
      <c r="AE732" s="164"/>
      <c r="AF732" s="148"/>
      <c r="AG732" s="148"/>
      <c r="AH732" s="183"/>
    </row>
    <row r="733" spans="2:34" ht="35.1" customHeight="1" thickTop="1" thickBot="1" x14ac:dyDescent="0.25">
      <c r="B733" s="142"/>
      <c r="C733" s="142"/>
      <c r="D733" s="142"/>
      <c r="E733" s="142"/>
      <c r="F733" s="142"/>
      <c r="G733" s="142"/>
      <c r="H733" s="142"/>
      <c r="I733" s="159"/>
      <c r="J733" s="18" t="s">
        <v>27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e">
        <f t="shared" si="128"/>
        <v>#DIV/0!</v>
      </c>
      <c r="AA733" s="148"/>
      <c r="AB733" s="148"/>
      <c r="AC733" s="152"/>
      <c r="AD733" s="152"/>
      <c r="AE733" s="164"/>
      <c r="AF733" s="148"/>
      <c r="AG733" s="148"/>
      <c r="AH733" s="183"/>
    </row>
    <row r="734" spans="2:34" ht="35.1" customHeight="1" thickTop="1" thickBot="1" x14ac:dyDescent="0.25">
      <c r="B734" s="142"/>
      <c r="C734" s="142"/>
      <c r="D734" s="142"/>
      <c r="E734" s="142"/>
      <c r="F734" s="142"/>
      <c r="G734" s="142"/>
      <c r="H734" s="142"/>
      <c r="I734" s="159"/>
      <c r="J734" s="18" t="s">
        <v>26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e">
        <f t="shared" si="128"/>
        <v>#DIV/0!</v>
      </c>
      <c r="AA734" s="148"/>
      <c r="AB734" s="148"/>
      <c r="AC734" s="152"/>
      <c r="AD734" s="152"/>
      <c r="AE734" s="164"/>
      <c r="AF734" s="148"/>
      <c r="AG734" s="148"/>
      <c r="AH734" s="183"/>
    </row>
    <row r="735" spans="2:34" ht="35.1" customHeight="1" thickTop="1" thickBot="1" x14ac:dyDescent="0.25">
      <c r="B735" s="143"/>
      <c r="C735" s="143"/>
      <c r="D735" s="143"/>
      <c r="E735" s="143"/>
      <c r="F735" s="143"/>
      <c r="G735" s="143"/>
      <c r="H735" s="143"/>
      <c r="I735" s="160"/>
      <c r="J735" s="12" t="s">
        <v>25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e">
        <f t="shared" si="128"/>
        <v>#DIV/0!</v>
      </c>
      <c r="AA735" s="149"/>
      <c r="AB735" s="149"/>
      <c r="AC735" s="153"/>
      <c r="AD735" s="153"/>
      <c r="AE735" s="165"/>
      <c r="AF735" s="149"/>
      <c r="AG735" s="149"/>
      <c r="AH735" s="184"/>
    </row>
    <row r="736" spans="2:34" ht="35.1" customHeight="1" thickTop="1" thickBot="1" x14ac:dyDescent="0.25">
      <c r="B736" s="141"/>
      <c r="C736" s="141"/>
      <c r="D736" s="141"/>
      <c r="E736" s="141"/>
      <c r="F736" s="141"/>
      <c r="G736" s="141"/>
      <c r="H736" s="141"/>
      <c r="I736" s="158"/>
      <c r="J736" s="18" t="s">
        <v>30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e">
        <f t="shared" si="128"/>
        <v>#DIV/0!</v>
      </c>
      <c r="AA736" s="147" t="e">
        <f>AVERAGE(Z736,Z737,Z738,Z741)</f>
        <v>#DIV/0!</v>
      </c>
      <c r="AB736" s="150"/>
      <c r="AC736" s="151"/>
      <c r="AD736" s="151"/>
      <c r="AE736" s="163"/>
      <c r="AF736" s="150"/>
      <c r="AG736" s="150"/>
      <c r="AH736" s="182" t="e">
        <f t="shared" ref="AH736" si="133">(AC736)/AB736</f>
        <v>#DIV/0!</v>
      </c>
    </row>
    <row r="737" spans="2:34" ht="35.1" customHeight="1" thickTop="1" thickBot="1" x14ac:dyDescent="0.25">
      <c r="B737" s="142"/>
      <c r="C737" s="142"/>
      <c r="D737" s="142"/>
      <c r="E737" s="142"/>
      <c r="F737" s="142"/>
      <c r="G737" s="142"/>
      <c r="H737" s="142"/>
      <c r="I737" s="159"/>
      <c r="J737" s="18" t="s">
        <v>29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e">
        <f t="shared" si="128"/>
        <v>#DIV/0!</v>
      </c>
      <c r="AA737" s="148"/>
      <c r="AB737" s="148"/>
      <c r="AC737" s="152"/>
      <c r="AD737" s="152"/>
      <c r="AE737" s="164"/>
      <c r="AF737" s="148"/>
      <c r="AG737" s="148"/>
      <c r="AH737" s="183"/>
    </row>
    <row r="738" spans="2:34" ht="35.1" customHeight="1" thickTop="1" thickBot="1" x14ac:dyDescent="0.25">
      <c r="B738" s="142"/>
      <c r="C738" s="142"/>
      <c r="D738" s="142"/>
      <c r="E738" s="142"/>
      <c r="F738" s="142"/>
      <c r="G738" s="142"/>
      <c r="H738" s="142"/>
      <c r="I738" s="159"/>
      <c r="J738" s="18" t="s">
        <v>28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e">
        <f t="shared" si="128"/>
        <v>#DIV/0!</v>
      </c>
      <c r="AA738" s="148"/>
      <c r="AB738" s="148"/>
      <c r="AC738" s="152"/>
      <c r="AD738" s="152"/>
      <c r="AE738" s="164"/>
      <c r="AF738" s="148"/>
      <c r="AG738" s="148"/>
      <c r="AH738" s="183"/>
    </row>
    <row r="739" spans="2:34" ht="35.1" customHeight="1" thickTop="1" thickBot="1" x14ac:dyDescent="0.25">
      <c r="B739" s="142"/>
      <c r="C739" s="142"/>
      <c r="D739" s="142"/>
      <c r="E739" s="142"/>
      <c r="F739" s="142"/>
      <c r="G739" s="142"/>
      <c r="H739" s="142"/>
      <c r="I739" s="159"/>
      <c r="J739" s="18" t="s">
        <v>27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e">
        <f t="shared" si="128"/>
        <v>#DIV/0!</v>
      </c>
      <c r="AA739" s="148"/>
      <c r="AB739" s="148"/>
      <c r="AC739" s="152"/>
      <c r="AD739" s="152"/>
      <c r="AE739" s="164"/>
      <c r="AF739" s="148"/>
      <c r="AG739" s="148"/>
      <c r="AH739" s="183"/>
    </row>
    <row r="740" spans="2:34" ht="35.1" customHeight="1" thickTop="1" thickBot="1" x14ac:dyDescent="0.25">
      <c r="B740" s="142"/>
      <c r="C740" s="142"/>
      <c r="D740" s="142"/>
      <c r="E740" s="142"/>
      <c r="F740" s="142"/>
      <c r="G740" s="142"/>
      <c r="H740" s="142"/>
      <c r="I740" s="159"/>
      <c r="J740" s="18" t="s">
        <v>26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e">
        <f t="shared" si="128"/>
        <v>#DIV/0!</v>
      </c>
      <c r="AA740" s="148"/>
      <c r="AB740" s="148"/>
      <c r="AC740" s="152"/>
      <c r="AD740" s="152"/>
      <c r="AE740" s="164"/>
      <c r="AF740" s="148"/>
      <c r="AG740" s="148"/>
      <c r="AH740" s="183"/>
    </row>
    <row r="741" spans="2:34" ht="35.1" customHeight="1" thickTop="1" thickBot="1" x14ac:dyDescent="0.25">
      <c r="B741" s="143"/>
      <c r="C741" s="143"/>
      <c r="D741" s="143"/>
      <c r="E741" s="143"/>
      <c r="F741" s="143"/>
      <c r="G741" s="143"/>
      <c r="H741" s="143"/>
      <c r="I741" s="160"/>
      <c r="J741" s="12" t="s">
        <v>25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e">
        <f t="shared" si="128"/>
        <v>#DIV/0!</v>
      </c>
      <c r="AA741" s="149"/>
      <c r="AB741" s="149"/>
      <c r="AC741" s="153"/>
      <c r="AD741" s="153"/>
      <c r="AE741" s="165"/>
      <c r="AF741" s="149"/>
      <c r="AG741" s="149"/>
      <c r="AH741" s="184"/>
    </row>
    <row r="742" spans="2:34" ht="35.1" customHeight="1" thickTop="1" thickBot="1" x14ac:dyDescent="0.25">
      <c r="B742" s="141"/>
      <c r="C742" s="141"/>
      <c r="D742" s="141"/>
      <c r="E742" s="141"/>
      <c r="F742" s="141"/>
      <c r="G742" s="141"/>
      <c r="H742" s="141"/>
      <c r="I742" s="158"/>
      <c r="J742" s="18" t="s">
        <v>30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e">
        <f t="shared" si="128"/>
        <v>#DIV/0!</v>
      </c>
      <c r="AA742" s="147" t="e">
        <f>AVERAGE(Z742,Z743,Z744,Z747)</f>
        <v>#DIV/0!</v>
      </c>
      <c r="AB742" s="150"/>
      <c r="AC742" s="151"/>
      <c r="AD742" s="151"/>
      <c r="AE742" s="163"/>
      <c r="AF742" s="150"/>
      <c r="AG742" s="150"/>
      <c r="AH742" s="182" t="e">
        <f t="shared" ref="AH742" si="134">(AC742)/AB742</f>
        <v>#DIV/0!</v>
      </c>
    </row>
    <row r="743" spans="2:34" ht="35.1" customHeight="1" thickTop="1" thickBot="1" x14ac:dyDescent="0.25">
      <c r="B743" s="142"/>
      <c r="C743" s="142"/>
      <c r="D743" s="142"/>
      <c r="E743" s="142"/>
      <c r="F743" s="142"/>
      <c r="G743" s="142"/>
      <c r="H743" s="142"/>
      <c r="I743" s="159"/>
      <c r="J743" s="18" t="s">
        <v>29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e">
        <f t="shared" si="128"/>
        <v>#DIV/0!</v>
      </c>
      <c r="AA743" s="148"/>
      <c r="AB743" s="148"/>
      <c r="AC743" s="152"/>
      <c r="AD743" s="152"/>
      <c r="AE743" s="164"/>
      <c r="AF743" s="148"/>
      <c r="AG743" s="148"/>
      <c r="AH743" s="183"/>
    </row>
    <row r="744" spans="2:34" ht="35.1" customHeight="1" thickTop="1" thickBot="1" x14ac:dyDescent="0.25">
      <c r="B744" s="142"/>
      <c r="C744" s="142"/>
      <c r="D744" s="142"/>
      <c r="E744" s="142"/>
      <c r="F744" s="142"/>
      <c r="G744" s="142"/>
      <c r="H744" s="142"/>
      <c r="I744" s="159"/>
      <c r="J744" s="18" t="s">
        <v>28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e">
        <f t="shared" si="128"/>
        <v>#DIV/0!</v>
      </c>
      <c r="AA744" s="148"/>
      <c r="AB744" s="148"/>
      <c r="AC744" s="152"/>
      <c r="AD744" s="152"/>
      <c r="AE744" s="164"/>
      <c r="AF744" s="148"/>
      <c r="AG744" s="148"/>
      <c r="AH744" s="183"/>
    </row>
    <row r="745" spans="2:34" ht="35.1" customHeight="1" thickTop="1" thickBot="1" x14ac:dyDescent="0.25">
      <c r="B745" s="142"/>
      <c r="C745" s="142"/>
      <c r="D745" s="142"/>
      <c r="E745" s="142"/>
      <c r="F745" s="142"/>
      <c r="G745" s="142"/>
      <c r="H745" s="142"/>
      <c r="I745" s="159"/>
      <c r="J745" s="18" t="s">
        <v>27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e">
        <f t="shared" si="128"/>
        <v>#DIV/0!</v>
      </c>
      <c r="AA745" s="148"/>
      <c r="AB745" s="148"/>
      <c r="AC745" s="152"/>
      <c r="AD745" s="152"/>
      <c r="AE745" s="164"/>
      <c r="AF745" s="148"/>
      <c r="AG745" s="148"/>
      <c r="AH745" s="183"/>
    </row>
    <row r="746" spans="2:34" ht="35.1" customHeight="1" thickTop="1" thickBot="1" x14ac:dyDescent="0.25">
      <c r="B746" s="142"/>
      <c r="C746" s="142"/>
      <c r="D746" s="142"/>
      <c r="E746" s="142"/>
      <c r="F746" s="142"/>
      <c r="G746" s="142"/>
      <c r="H746" s="142"/>
      <c r="I746" s="159"/>
      <c r="J746" s="18" t="s">
        <v>26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e">
        <f t="shared" si="128"/>
        <v>#DIV/0!</v>
      </c>
      <c r="AA746" s="148"/>
      <c r="AB746" s="148"/>
      <c r="AC746" s="152"/>
      <c r="AD746" s="152"/>
      <c r="AE746" s="164"/>
      <c r="AF746" s="148"/>
      <c r="AG746" s="148"/>
      <c r="AH746" s="183"/>
    </row>
    <row r="747" spans="2:34" ht="35.1" customHeight="1" thickTop="1" thickBot="1" x14ac:dyDescent="0.25">
      <c r="B747" s="143"/>
      <c r="C747" s="143"/>
      <c r="D747" s="143"/>
      <c r="E747" s="143"/>
      <c r="F747" s="143"/>
      <c r="G747" s="143"/>
      <c r="H747" s="143"/>
      <c r="I747" s="160"/>
      <c r="J747" s="12" t="s">
        <v>25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e">
        <f t="shared" si="128"/>
        <v>#DIV/0!</v>
      </c>
      <c r="AA747" s="149"/>
      <c r="AB747" s="149"/>
      <c r="AC747" s="153"/>
      <c r="AD747" s="153"/>
      <c r="AE747" s="165"/>
      <c r="AF747" s="149"/>
      <c r="AG747" s="149"/>
      <c r="AH747" s="184"/>
    </row>
    <row r="748" spans="2:34" ht="35.1" customHeight="1" thickTop="1" thickBot="1" x14ac:dyDescent="0.25">
      <c r="B748" s="141"/>
      <c r="C748" s="141"/>
      <c r="D748" s="141"/>
      <c r="E748" s="141"/>
      <c r="F748" s="141"/>
      <c r="G748" s="141"/>
      <c r="H748" s="141"/>
      <c r="I748" s="158"/>
      <c r="J748" s="18" t="s">
        <v>30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e">
        <f t="shared" si="128"/>
        <v>#DIV/0!</v>
      </c>
      <c r="AA748" s="147" t="e">
        <f>AVERAGE(Z748,Z749,Z750,Z753)</f>
        <v>#DIV/0!</v>
      </c>
      <c r="AB748" s="150"/>
      <c r="AC748" s="151"/>
      <c r="AD748" s="151"/>
      <c r="AE748" s="163"/>
      <c r="AF748" s="150"/>
      <c r="AG748" s="150"/>
      <c r="AH748" s="182" t="e">
        <f t="shared" ref="AH748" si="135">(AC748)/AB748</f>
        <v>#DIV/0!</v>
      </c>
    </row>
    <row r="749" spans="2:34" ht="35.1" customHeight="1" thickTop="1" thickBot="1" x14ac:dyDescent="0.25">
      <c r="B749" s="142"/>
      <c r="C749" s="142"/>
      <c r="D749" s="142"/>
      <c r="E749" s="142"/>
      <c r="F749" s="142"/>
      <c r="G749" s="142"/>
      <c r="H749" s="142"/>
      <c r="I749" s="159"/>
      <c r="J749" s="18" t="s">
        <v>29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e">
        <f t="shared" si="128"/>
        <v>#DIV/0!</v>
      </c>
      <c r="AA749" s="148"/>
      <c r="AB749" s="148"/>
      <c r="AC749" s="152"/>
      <c r="AD749" s="152"/>
      <c r="AE749" s="164"/>
      <c r="AF749" s="148"/>
      <c r="AG749" s="148"/>
      <c r="AH749" s="183"/>
    </row>
    <row r="750" spans="2:34" ht="35.1" customHeight="1" thickTop="1" thickBot="1" x14ac:dyDescent="0.25">
      <c r="B750" s="142"/>
      <c r="C750" s="142"/>
      <c r="D750" s="142"/>
      <c r="E750" s="142"/>
      <c r="F750" s="142"/>
      <c r="G750" s="142"/>
      <c r="H750" s="142"/>
      <c r="I750" s="159"/>
      <c r="J750" s="18" t="s">
        <v>28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e">
        <f t="shared" si="128"/>
        <v>#DIV/0!</v>
      </c>
      <c r="AA750" s="148"/>
      <c r="AB750" s="148"/>
      <c r="AC750" s="152"/>
      <c r="AD750" s="152"/>
      <c r="AE750" s="164"/>
      <c r="AF750" s="148"/>
      <c r="AG750" s="148"/>
      <c r="AH750" s="183"/>
    </row>
    <row r="751" spans="2:34" ht="35.1" customHeight="1" thickTop="1" thickBot="1" x14ac:dyDescent="0.25">
      <c r="B751" s="142"/>
      <c r="C751" s="142"/>
      <c r="D751" s="142"/>
      <c r="E751" s="142"/>
      <c r="F751" s="142"/>
      <c r="G751" s="142"/>
      <c r="H751" s="142"/>
      <c r="I751" s="159"/>
      <c r="J751" s="18" t="s">
        <v>27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e">
        <f t="shared" si="128"/>
        <v>#DIV/0!</v>
      </c>
      <c r="AA751" s="148"/>
      <c r="AB751" s="148"/>
      <c r="AC751" s="152"/>
      <c r="AD751" s="152"/>
      <c r="AE751" s="164"/>
      <c r="AF751" s="148"/>
      <c r="AG751" s="148"/>
      <c r="AH751" s="183"/>
    </row>
    <row r="752" spans="2:34" ht="35.1" customHeight="1" thickTop="1" thickBot="1" x14ac:dyDescent="0.25">
      <c r="B752" s="142"/>
      <c r="C752" s="142"/>
      <c r="D752" s="142"/>
      <c r="E752" s="142"/>
      <c r="F752" s="142"/>
      <c r="G752" s="142"/>
      <c r="H752" s="142"/>
      <c r="I752" s="159"/>
      <c r="J752" s="18" t="s">
        <v>26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e">
        <f t="shared" si="128"/>
        <v>#DIV/0!</v>
      </c>
      <c r="AA752" s="148"/>
      <c r="AB752" s="148"/>
      <c r="AC752" s="152"/>
      <c r="AD752" s="152"/>
      <c r="AE752" s="164"/>
      <c r="AF752" s="148"/>
      <c r="AG752" s="148"/>
      <c r="AH752" s="183"/>
    </row>
    <row r="753" spans="2:34" ht="35.1" customHeight="1" thickTop="1" thickBot="1" x14ac:dyDescent="0.25">
      <c r="B753" s="143"/>
      <c r="C753" s="143"/>
      <c r="D753" s="143"/>
      <c r="E753" s="143"/>
      <c r="F753" s="143"/>
      <c r="G753" s="143"/>
      <c r="H753" s="143"/>
      <c r="I753" s="160"/>
      <c r="J753" s="12" t="s">
        <v>25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e">
        <f t="shared" si="128"/>
        <v>#DIV/0!</v>
      </c>
      <c r="AA753" s="149"/>
      <c r="AB753" s="149"/>
      <c r="AC753" s="153"/>
      <c r="AD753" s="153"/>
      <c r="AE753" s="165"/>
      <c r="AF753" s="149"/>
      <c r="AG753" s="149"/>
      <c r="AH753" s="184"/>
    </row>
    <row r="754" spans="2:34" ht="35.1" customHeight="1" thickTop="1" thickBot="1" x14ac:dyDescent="0.25">
      <c r="B754" s="141"/>
      <c r="C754" s="141"/>
      <c r="D754" s="141"/>
      <c r="E754" s="141"/>
      <c r="F754" s="141"/>
      <c r="G754" s="141"/>
      <c r="H754" s="141"/>
      <c r="I754" s="158"/>
      <c r="J754" s="18" t="s">
        <v>30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e">
        <f t="shared" si="128"/>
        <v>#DIV/0!</v>
      </c>
      <c r="AA754" s="147" t="e">
        <f>AVERAGE(Z754,Z755,Z756,Z759)</f>
        <v>#DIV/0!</v>
      </c>
      <c r="AB754" s="150"/>
      <c r="AC754" s="151"/>
      <c r="AD754" s="151"/>
      <c r="AE754" s="163"/>
      <c r="AF754" s="150"/>
      <c r="AG754" s="150"/>
      <c r="AH754" s="182" t="e">
        <f t="shared" ref="AH754" si="136">(AC754)/AB754</f>
        <v>#DIV/0!</v>
      </c>
    </row>
    <row r="755" spans="2:34" ht="35.1" customHeight="1" thickTop="1" thickBot="1" x14ac:dyDescent="0.25">
      <c r="B755" s="142"/>
      <c r="C755" s="142"/>
      <c r="D755" s="142"/>
      <c r="E755" s="142"/>
      <c r="F755" s="142"/>
      <c r="G755" s="142"/>
      <c r="H755" s="142"/>
      <c r="I755" s="159"/>
      <c r="J755" s="18" t="s">
        <v>29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e">
        <f t="shared" si="128"/>
        <v>#DIV/0!</v>
      </c>
      <c r="AA755" s="148"/>
      <c r="AB755" s="148"/>
      <c r="AC755" s="152"/>
      <c r="AD755" s="152"/>
      <c r="AE755" s="164"/>
      <c r="AF755" s="148"/>
      <c r="AG755" s="148"/>
      <c r="AH755" s="183"/>
    </row>
    <row r="756" spans="2:34" ht="35.1" customHeight="1" thickTop="1" thickBot="1" x14ac:dyDescent="0.25">
      <c r="B756" s="142"/>
      <c r="C756" s="142"/>
      <c r="D756" s="142"/>
      <c r="E756" s="142"/>
      <c r="F756" s="142"/>
      <c r="G756" s="142"/>
      <c r="H756" s="142"/>
      <c r="I756" s="159"/>
      <c r="J756" s="18" t="s">
        <v>28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e">
        <f t="shared" si="128"/>
        <v>#DIV/0!</v>
      </c>
      <c r="AA756" s="148"/>
      <c r="AB756" s="148"/>
      <c r="AC756" s="152"/>
      <c r="AD756" s="152"/>
      <c r="AE756" s="164"/>
      <c r="AF756" s="148"/>
      <c r="AG756" s="148"/>
      <c r="AH756" s="183"/>
    </row>
    <row r="757" spans="2:34" ht="35.1" customHeight="1" thickTop="1" thickBot="1" x14ac:dyDescent="0.25">
      <c r="B757" s="142"/>
      <c r="C757" s="142"/>
      <c r="D757" s="142"/>
      <c r="E757" s="142"/>
      <c r="F757" s="142"/>
      <c r="G757" s="142"/>
      <c r="H757" s="142"/>
      <c r="I757" s="159"/>
      <c r="J757" s="18" t="s">
        <v>27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e">
        <f t="shared" si="128"/>
        <v>#DIV/0!</v>
      </c>
      <c r="AA757" s="148"/>
      <c r="AB757" s="148"/>
      <c r="AC757" s="152"/>
      <c r="AD757" s="152"/>
      <c r="AE757" s="164"/>
      <c r="AF757" s="148"/>
      <c r="AG757" s="148"/>
      <c r="AH757" s="183"/>
    </row>
    <row r="758" spans="2:34" ht="35.1" customHeight="1" thickTop="1" thickBot="1" x14ac:dyDescent="0.25">
      <c r="B758" s="142"/>
      <c r="C758" s="142"/>
      <c r="D758" s="142"/>
      <c r="E758" s="142"/>
      <c r="F758" s="142"/>
      <c r="G758" s="142"/>
      <c r="H758" s="142"/>
      <c r="I758" s="159"/>
      <c r="J758" s="18" t="s">
        <v>26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e">
        <f t="shared" si="128"/>
        <v>#DIV/0!</v>
      </c>
      <c r="AA758" s="148"/>
      <c r="AB758" s="148"/>
      <c r="AC758" s="152"/>
      <c r="AD758" s="152"/>
      <c r="AE758" s="164"/>
      <c r="AF758" s="148"/>
      <c r="AG758" s="148"/>
      <c r="AH758" s="183"/>
    </row>
    <row r="759" spans="2:34" ht="35.1" customHeight="1" thickTop="1" thickBot="1" x14ac:dyDescent="0.25">
      <c r="B759" s="143"/>
      <c r="C759" s="143"/>
      <c r="D759" s="143"/>
      <c r="E759" s="143"/>
      <c r="F759" s="143"/>
      <c r="G759" s="143"/>
      <c r="H759" s="143"/>
      <c r="I759" s="160"/>
      <c r="J759" s="12" t="s">
        <v>25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e">
        <f t="shared" si="128"/>
        <v>#DIV/0!</v>
      </c>
      <c r="AA759" s="149"/>
      <c r="AB759" s="149"/>
      <c r="AC759" s="153"/>
      <c r="AD759" s="153"/>
      <c r="AE759" s="165"/>
      <c r="AF759" s="149"/>
      <c r="AG759" s="149"/>
      <c r="AH759" s="184"/>
    </row>
    <row r="760" spans="2:34" ht="35.1" customHeight="1" thickTop="1" thickBot="1" x14ac:dyDescent="0.25">
      <c r="B760" s="141"/>
      <c r="C760" s="141"/>
      <c r="D760" s="141"/>
      <c r="E760" s="141"/>
      <c r="F760" s="141"/>
      <c r="G760" s="141"/>
      <c r="H760" s="141"/>
      <c r="I760" s="158"/>
      <c r="J760" s="18" t="s">
        <v>30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e">
        <f t="shared" si="128"/>
        <v>#DIV/0!</v>
      </c>
      <c r="AA760" s="147" t="e">
        <f>AVERAGE(Z760,Z761,Z762,Z765)</f>
        <v>#DIV/0!</v>
      </c>
      <c r="AB760" s="150"/>
      <c r="AC760" s="151"/>
      <c r="AD760" s="151"/>
      <c r="AE760" s="163"/>
      <c r="AF760" s="150"/>
      <c r="AG760" s="150"/>
      <c r="AH760" s="182" t="e">
        <f t="shared" ref="AH760" si="137">(AC760)/AB760</f>
        <v>#DIV/0!</v>
      </c>
    </row>
    <row r="761" spans="2:34" ht="35.1" customHeight="1" thickTop="1" thickBot="1" x14ac:dyDescent="0.25">
      <c r="B761" s="142"/>
      <c r="C761" s="142"/>
      <c r="D761" s="142"/>
      <c r="E761" s="142"/>
      <c r="F761" s="142"/>
      <c r="G761" s="142"/>
      <c r="H761" s="142"/>
      <c r="I761" s="159"/>
      <c r="J761" s="18" t="s">
        <v>29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e">
        <f t="shared" si="128"/>
        <v>#DIV/0!</v>
      </c>
      <c r="AA761" s="148"/>
      <c r="AB761" s="148"/>
      <c r="AC761" s="152"/>
      <c r="AD761" s="152"/>
      <c r="AE761" s="164"/>
      <c r="AF761" s="148"/>
      <c r="AG761" s="148"/>
      <c r="AH761" s="183"/>
    </row>
    <row r="762" spans="2:34" ht="35.1" customHeight="1" thickTop="1" thickBot="1" x14ac:dyDescent="0.25">
      <c r="B762" s="142"/>
      <c r="C762" s="142"/>
      <c r="D762" s="142"/>
      <c r="E762" s="142"/>
      <c r="F762" s="142"/>
      <c r="G762" s="142"/>
      <c r="H762" s="142"/>
      <c r="I762" s="159"/>
      <c r="J762" s="18" t="s">
        <v>28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e">
        <f t="shared" si="128"/>
        <v>#DIV/0!</v>
      </c>
      <c r="AA762" s="148"/>
      <c r="AB762" s="148"/>
      <c r="AC762" s="152"/>
      <c r="AD762" s="152"/>
      <c r="AE762" s="164"/>
      <c r="AF762" s="148"/>
      <c r="AG762" s="148"/>
      <c r="AH762" s="183"/>
    </row>
    <row r="763" spans="2:34" ht="35.1" customHeight="1" thickTop="1" thickBot="1" x14ac:dyDescent="0.25">
      <c r="B763" s="142"/>
      <c r="C763" s="142"/>
      <c r="D763" s="142"/>
      <c r="E763" s="142"/>
      <c r="F763" s="142"/>
      <c r="G763" s="142"/>
      <c r="H763" s="142"/>
      <c r="I763" s="159"/>
      <c r="J763" s="18" t="s">
        <v>27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e">
        <f t="shared" si="128"/>
        <v>#DIV/0!</v>
      </c>
      <c r="AA763" s="148"/>
      <c r="AB763" s="148"/>
      <c r="AC763" s="152"/>
      <c r="AD763" s="152"/>
      <c r="AE763" s="164"/>
      <c r="AF763" s="148"/>
      <c r="AG763" s="148"/>
      <c r="AH763" s="183"/>
    </row>
    <row r="764" spans="2:34" ht="35.1" customHeight="1" thickTop="1" thickBot="1" x14ac:dyDescent="0.25">
      <c r="B764" s="142"/>
      <c r="C764" s="142"/>
      <c r="D764" s="142"/>
      <c r="E764" s="142"/>
      <c r="F764" s="142"/>
      <c r="G764" s="142"/>
      <c r="H764" s="142"/>
      <c r="I764" s="159"/>
      <c r="J764" s="18" t="s">
        <v>26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e">
        <f t="shared" si="128"/>
        <v>#DIV/0!</v>
      </c>
      <c r="AA764" s="148"/>
      <c r="AB764" s="148"/>
      <c r="AC764" s="152"/>
      <c r="AD764" s="152"/>
      <c r="AE764" s="164"/>
      <c r="AF764" s="148"/>
      <c r="AG764" s="148"/>
      <c r="AH764" s="183"/>
    </row>
    <row r="765" spans="2:34" ht="35.1" customHeight="1" thickTop="1" thickBot="1" x14ac:dyDescent="0.25">
      <c r="B765" s="143"/>
      <c r="C765" s="143"/>
      <c r="D765" s="143"/>
      <c r="E765" s="143"/>
      <c r="F765" s="143"/>
      <c r="G765" s="143"/>
      <c r="H765" s="143"/>
      <c r="I765" s="160"/>
      <c r="J765" s="12" t="s">
        <v>25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e">
        <f t="shared" si="128"/>
        <v>#DIV/0!</v>
      </c>
      <c r="AA765" s="149"/>
      <c r="AB765" s="149"/>
      <c r="AC765" s="153"/>
      <c r="AD765" s="153"/>
      <c r="AE765" s="165"/>
      <c r="AF765" s="149"/>
      <c r="AG765" s="149"/>
      <c r="AH765" s="184"/>
    </row>
    <row r="766" spans="2:34" ht="35.1" customHeight="1" thickTop="1" thickBot="1" x14ac:dyDescent="0.25">
      <c r="B766" s="141"/>
      <c r="C766" s="141"/>
      <c r="D766" s="141"/>
      <c r="E766" s="141"/>
      <c r="F766" s="141"/>
      <c r="G766" s="141"/>
      <c r="H766" s="141"/>
      <c r="I766" s="158"/>
      <c r="J766" s="18" t="s">
        <v>30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e">
        <f t="shared" si="128"/>
        <v>#DIV/0!</v>
      </c>
      <c r="AA766" s="147" t="e">
        <f>AVERAGE(Z766,Z767,Z768,Z771)</f>
        <v>#DIV/0!</v>
      </c>
      <c r="AB766" s="150"/>
      <c r="AC766" s="151"/>
      <c r="AD766" s="151"/>
      <c r="AE766" s="163"/>
      <c r="AF766" s="150"/>
      <c r="AG766" s="150"/>
      <c r="AH766" s="182" t="e">
        <f t="shared" ref="AH766" si="138">(AC766)/AB766</f>
        <v>#DIV/0!</v>
      </c>
    </row>
    <row r="767" spans="2:34" ht="35.1" customHeight="1" thickTop="1" thickBot="1" x14ac:dyDescent="0.25">
      <c r="B767" s="142"/>
      <c r="C767" s="142"/>
      <c r="D767" s="142"/>
      <c r="E767" s="142"/>
      <c r="F767" s="142"/>
      <c r="G767" s="142"/>
      <c r="H767" s="142"/>
      <c r="I767" s="159"/>
      <c r="J767" s="18" t="s">
        <v>29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e">
        <f t="shared" si="128"/>
        <v>#DIV/0!</v>
      </c>
      <c r="AA767" s="148"/>
      <c r="AB767" s="148"/>
      <c r="AC767" s="152"/>
      <c r="AD767" s="152"/>
      <c r="AE767" s="164"/>
      <c r="AF767" s="148"/>
      <c r="AG767" s="148"/>
      <c r="AH767" s="183"/>
    </row>
    <row r="768" spans="2:34" ht="35.1" customHeight="1" thickTop="1" thickBot="1" x14ac:dyDescent="0.25">
      <c r="B768" s="142"/>
      <c r="C768" s="142"/>
      <c r="D768" s="142"/>
      <c r="E768" s="142"/>
      <c r="F768" s="142"/>
      <c r="G768" s="142"/>
      <c r="H768" s="142"/>
      <c r="I768" s="159"/>
      <c r="J768" s="18" t="s">
        <v>28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e">
        <f t="shared" si="128"/>
        <v>#DIV/0!</v>
      </c>
      <c r="AA768" s="148"/>
      <c r="AB768" s="148"/>
      <c r="AC768" s="152"/>
      <c r="AD768" s="152"/>
      <c r="AE768" s="164"/>
      <c r="AF768" s="148"/>
      <c r="AG768" s="148"/>
      <c r="AH768" s="183"/>
    </row>
    <row r="769" spans="2:34" ht="35.1" customHeight="1" thickTop="1" thickBot="1" x14ac:dyDescent="0.25">
      <c r="B769" s="142"/>
      <c r="C769" s="142"/>
      <c r="D769" s="142"/>
      <c r="E769" s="142"/>
      <c r="F769" s="142"/>
      <c r="G769" s="142"/>
      <c r="H769" s="142"/>
      <c r="I769" s="159"/>
      <c r="J769" s="18" t="s">
        <v>27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e">
        <f t="shared" si="128"/>
        <v>#DIV/0!</v>
      </c>
      <c r="AA769" s="148"/>
      <c r="AB769" s="148"/>
      <c r="AC769" s="152"/>
      <c r="AD769" s="152"/>
      <c r="AE769" s="164"/>
      <c r="AF769" s="148"/>
      <c r="AG769" s="148"/>
      <c r="AH769" s="183"/>
    </row>
    <row r="770" spans="2:34" ht="35.1" customHeight="1" thickTop="1" thickBot="1" x14ac:dyDescent="0.25">
      <c r="B770" s="142"/>
      <c r="C770" s="142"/>
      <c r="D770" s="142"/>
      <c r="E770" s="142"/>
      <c r="F770" s="142"/>
      <c r="G770" s="142"/>
      <c r="H770" s="142"/>
      <c r="I770" s="159"/>
      <c r="J770" s="18" t="s">
        <v>26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e">
        <f t="shared" si="128"/>
        <v>#DIV/0!</v>
      </c>
      <c r="AA770" s="148"/>
      <c r="AB770" s="148"/>
      <c r="AC770" s="152"/>
      <c r="AD770" s="152"/>
      <c r="AE770" s="164"/>
      <c r="AF770" s="148"/>
      <c r="AG770" s="148"/>
      <c r="AH770" s="183"/>
    </row>
    <row r="771" spans="2:34" ht="35.1" customHeight="1" thickTop="1" thickBot="1" x14ac:dyDescent="0.25">
      <c r="B771" s="143"/>
      <c r="C771" s="143"/>
      <c r="D771" s="143"/>
      <c r="E771" s="143"/>
      <c r="F771" s="143"/>
      <c r="G771" s="143"/>
      <c r="H771" s="143"/>
      <c r="I771" s="160"/>
      <c r="J771" s="12" t="s">
        <v>25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e">
        <f t="shared" si="128"/>
        <v>#DIV/0!</v>
      </c>
      <c r="AA771" s="149"/>
      <c r="AB771" s="149"/>
      <c r="AC771" s="153"/>
      <c r="AD771" s="153"/>
      <c r="AE771" s="165"/>
      <c r="AF771" s="149"/>
      <c r="AG771" s="149"/>
      <c r="AH771" s="184"/>
    </row>
    <row r="772" spans="2:34" ht="35.1" customHeight="1" thickTop="1" thickBot="1" x14ac:dyDescent="0.25">
      <c r="B772" s="141"/>
      <c r="C772" s="141"/>
      <c r="D772" s="141"/>
      <c r="E772" s="141"/>
      <c r="F772" s="141"/>
      <c r="G772" s="141"/>
      <c r="H772" s="141"/>
      <c r="I772" s="158"/>
      <c r="J772" s="18" t="s">
        <v>30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e">
        <f t="shared" ref="Z772:Z835" si="139">(L772)/K772</f>
        <v>#DIV/0!</v>
      </c>
      <c r="AA772" s="147" t="e">
        <f>AVERAGE(Z772,Z773,Z774,Z777)</f>
        <v>#DIV/0!</v>
      </c>
      <c r="AB772" s="150"/>
      <c r="AC772" s="151"/>
      <c r="AD772" s="151"/>
      <c r="AE772" s="163"/>
      <c r="AF772" s="150"/>
      <c r="AG772" s="150"/>
      <c r="AH772" s="182" t="e">
        <f t="shared" ref="AH772" si="140">(AC772)/AB772</f>
        <v>#DIV/0!</v>
      </c>
    </row>
    <row r="773" spans="2:34" ht="35.1" customHeight="1" thickTop="1" thickBot="1" x14ac:dyDescent="0.25">
      <c r="B773" s="142"/>
      <c r="C773" s="142"/>
      <c r="D773" s="142"/>
      <c r="E773" s="142"/>
      <c r="F773" s="142"/>
      <c r="G773" s="142"/>
      <c r="H773" s="142"/>
      <c r="I773" s="159"/>
      <c r="J773" s="18" t="s">
        <v>29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e">
        <f t="shared" si="139"/>
        <v>#DIV/0!</v>
      </c>
      <c r="AA773" s="148"/>
      <c r="AB773" s="148"/>
      <c r="AC773" s="152"/>
      <c r="AD773" s="152"/>
      <c r="AE773" s="164"/>
      <c r="AF773" s="148"/>
      <c r="AG773" s="148"/>
      <c r="AH773" s="183"/>
    </row>
    <row r="774" spans="2:34" ht="35.1" customHeight="1" thickTop="1" thickBot="1" x14ac:dyDescent="0.25">
      <c r="B774" s="142"/>
      <c r="C774" s="142"/>
      <c r="D774" s="142"/>
      <c r="E774" s="142"/>
      <c r="F774" s="142"/>
      <c r="G774" s="142"/>
      <c r="H774" s="142"/>
      <c r="I774" s="159"/>
      <c r="J774" s="18" t="s">
        <v>28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e">
        <f t="shared" si="139"/>
        <v>#DIV/0!</v>
      </c>
      <c r="AA774" s="148"/>
      <c r="AB774" s="148"/>
      <c r="AC774" s="152"/>
      <c r="AD774" s="152"/>
      <c r="AE774" s="164"/>
      <c r="AF774" s="148"/>
      <c r="AG774" s="148"/>
      <c r="AH774" s="183"/>
    </row>
    <row r="775" spans="2:34" ht="35.1" customHeight="1" thickTop="1" thickBot="1" x14ac:dyDescent="0.25">
      <c r="B775" s="142"/>
      <c r="C775" s="142"/>
      <c r="D775" s="142"/>
      <c r="E775" s="142"/>
      <c r="F775" s="142"/>
      <c r="G775" s="142"/>
      <c r="H775" s="142"/>
      <c r="I775" s="159"/>
      <c r="J775" s="18" t="s">
        <v>27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e">
        <f t="shared" si="139"/>
        <v>#DIV/0!</v>
      </c>
      <c r="AA775" s="148"/>
      <c r="AB775" s="148"/>
      <c r="AC775" s="152"/>
      <c r="AD775" s="152"/>
      <c r="AE775" s="164"/>
      <c r="AF775" s="148"/>
      <c r="AG775" s="148"/>
      <c r="AH775" s="183"/>
    </row>
    <row r="776" spans="2:34" ht="35.1" customHeight="1" thickTop="1" thickBot="1" x14ac:dyDescent="0.25">
      <c r="B776" s="142"/>
      <c r="C776" s="142"/>
      <c r="D776" s="142"/>
      <c r="E776" s="142"/>
      <c r="F776" s="142"/>
      <c r="G776" s="142"/>
      <c r="H776" s="142"/>
      <c r="I776" s="159"/>
      <c r="J776" s="18" t="s">
        <v>26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e">
        <f t="shared" si="139"/>
        <v>#DIV/0!</v>
      </c>
      <c r="AA776" s="148"/>
      <c r="AB776" s="148"/>
      <c r="AC776" s="152"/>
      <c r="AD776" s="152"/>
      <c r="AE776" s="164"/>
      <c r="AF776" s="148"/>
      <c r="AG776" s="148"/>
      <c r="AH776" s="183"/>
    </row>
    <row r="777" spans="2:34" ht="35.1" customHeight="1" thickTop="1" thickBot="1" x14ac:dyDescent="0.25">
      <c r="B777" s="143"/>
      <c r="C777" s="143"/>
      <c r="D777" s="143"/>
      <c r="E777" s="143"/>
      <c r="F777" s="143"/>
      <c r="G777" s="143"/>
      <c r="H777" s="143"/>
      <c r="I777" s="160"/>
      <c r="J777" s="12" t="s">
        <v>25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e">
        <f t="shared" si="139"/>
        <v>#DIV/0!</v>
      </c>
      <c r="AA777" s="149"/>
      <c r="AB777" s="149"/>
      <c r="AC777" s="153"/>
      <c r="AD777" s="153"/>
      <c r="AE777" s="165"/>
      <c r="AF777" s="149"/>
      <c r="AG777" s="149"/>
      <c r="AH777" s="184"/>
    </row>
    <row r="778" spans="2:34" ht="35.1" customHeight="1" thickTop="1" thickBot="1" x14ac:dyDescent="0.25">
      <c r="B778" s="141"/>
      <c r="C778" s="141"/>
      <c r="D778" s="141"/>
      <c r="E778" s="141"/>
      <c r="F778" s="141"/>
      <c r="G778" s="141"/>
      <c r="H778" s="141"/>
      <c r="I778" s="158"/>
      <c r="J778" s="18" t="s">
        <v>30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e">
        <f t="shared" si="139"/>
        <v>#DIV/0!</v>
      </c>
      <c r="AA778" s="147" t="e">
        <f>AVERAGE(Z778,Z779,Z780,Z783)</f>
        <v>#DIV/0!</v>
      </c>
      <c r="AB778" s="150"/>
      <c r="AC778" s="151"/>
      <c r="AD778" s="151"/>
      <c r="AE778" s="163"/>
      <c r="AF778" s="150"/>
      <c r="AG778" s="150"/>
      <c r="AH778" s="182" t="e">
        <f t="shared" ref="AH778" si="141">(AC778)/AB778</f>
        <v>#DIV/0!</v>
      </c>
    </row>
    <row r="779" spans="2:34" ht="35.1" customHeight="1" thickTop="1" thickBot="1" x14ac:dyDescent="0.25">
      <c r="B779" s="142"/>
      <c r="C779" s="142"/>
      <c r="D779" s="142"/>
      <c r="E779" s="142"/>
      <c r="F779" s="142"/>
      <c r="G779" s="142"/>
      <c r="H779" s="142"/>
      <c r="I779" s="159"/>
      <c r="J779" s="18" t="s">
        <v>29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e">
        <f t="shared" si="139"/>
        <v>#DIV/0!</v>
      </c>
      <c r="AA779" s="148"/>
      <c r="AB779" s="148"/>
      <c r="AC779" s="152"/>
      <c r="AD779" s="152"/>
      <c r="AE779" s="164"/>
      <c r="AF779" s="148"/>
      <c r="AG779" s="148"/>
      <c r="AH779" s="183"/>
    </row>
    <row r="780" spans="2:34" ht="35.1" customHeight="1" thickTop="1" thickBot="1" x14ac:dyDescent="0.25">
      <c r="B780" s="142"/>
      <c r="C780" s="142"/>
      <c r="D780" s="142"/>
      <c r="E780" s="142"/>
      <c r="F780" s="142"/>
      <c r="G780" s="142"/>
      <c r="H780" s="142"/>
      <c r="I780" s="159"/>
      <c r="J780" s="18" t="s">
        <v>28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e">
        <f t="shared" si="139"/>
        <v>#DIV/0!</v>
      </c>
      <c r="AA780" s="148"/>
      <c r="AB780" s="148"/>
      <c r="AC780" s="152"/>
      <c r="AD780" s="152"/>
      <c r="AE780" s="164"/>
      <c r="AF780" s="148"/>
      <c r="AG780" s="148"/>
      <c r="AH780" s="183"/>
    </row>
    <row r="781" spans="2:34" ht="35.1" customHeight="1" thickTop="1" thickBot="1" x14ac:dyDescent="0.25">
      <c r="B781" s="142"/>
      <c r="C781" s="142"/>
      <c r="D781" s="142"/>
      <c r="E781" s="142"/>
      <c r="F781" s="142"/>
      <c r="G781" s="142"/>
      <c r="H781" s="142"/>
      <c r="I781" s="159"/>
      <c r="J781" s="18" t="s">
        <v>27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e">
        <f t="shared" si="139"/>
        <v>#DIV/0!</v>
      </c>
      <c r="AA781" s="148"/>
      <c r="AB781" s="148"/>
      <c r="AC781" s="152"/>
      <c r="AD781" s="152"/>
      <c r="AE781" s="164"/>
      <c r="AF781" s="148"/>
      <c r="AG781" s="148"/>
      <c r="AH781" s="183"/>
    </row>
    <row r="782" spans="2:34" ht="35.1" customHeight="1" thickTop="1" thickBot="1" x14ac:dyDescent="0.25">
      <c r="B782" s="142"/>
      <c r="C782" s="142"/>
      <c r="D782" s="142"/>
      <c r="E782" s="142"/>
      <c r="F782" s="142"/>
      <c r="G782" s="142"/>
      <c r="H782" s="142"/>
      <c r="I782" s="159"/>
      <c r="J782" s="18" t="s">
        <v>26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e">
        <f t="shared" si="139"/>
        <v>#DIV/0!</v>
      </c>
      <c r="AA782" s="148"/>
      <c r="AB782" s="148"/>
      <c r="AC782" s="152"/>
      <c r="AD782" s="152"/>
      <c r="AE782" s="164"/>
      <c r="AF782" s="148"/>
      <c r="AG782" s="148"/>
      <c r="AH782" s="183"/>
    </row>
    <row r="783" spans="2:34" ht="35.1" customHeight="1" thickTop="1" thickBot="1" x14ac:dyDescent="0.25">
      <c r="B783" s="143"/>
      <c r="C783" s="143"/>
      <c r="D783" s="143"/>
      <c r="E783" s="143"/>
      <c r="F783" s="143"/>
      <c r="G783" s="143"/>
      <c r="H783" s="143"/>
      <c r="I783" s="160"/>
      <c r="J783" s="12" t="s">
        <v>25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e">
        <f t="shared" si="139"/>
        <v>#DIV/0!</v>
      </c>
      <c r="AA783" s="149"/>
      <c r="AB783" s="149"/>
      <c r="AC783" s="153"/>
      <c r="AD783" s="153"/>
      <c r="AE783" s="165"/>
      <c r="AF783" s="149"/>
      <c r="AG783" s="149"/>
      <c r="AH783" s="184"/>
    </row>
    <row r="784" spans="2:34" ht="35.1" customHeight="1" thickTop="1" thickBot="1" x14ac:dyDescent="0.25">
      <c r="B784" s="141"/>
      <c r="C784" s="141"/>
      <c r="D784" s="141"/>
      <c r="E784" s="141"/>
      <c r="F784" s="141"/>
      <c r="G784" s="141"/>
      <c r="H784" s="141"/>
      <c r="I784" s="158"/>
      <c r="J784" s="18" t="s">
        <v>30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e">
        <f t="shared" si="139"/>
        <v>#DIV/0!</v>
      </c>
      <c r="AA784" s="147" t="e">
        <f>AVERAGE(Z784,Z785,Z786,Z789)</f>
        <v>#DIV/0!</v>
      </c>
      <c r="AB784" s="150"/>
      <c r="AC784" s="151"/>
      <c r="AD784" s="151"/>
      <c r="AE784" s="163"/>
      <c r="AF784" s="150"/>
      <c r="AG784" s="150"/>
      <c r="AH784" s="182" t="e">
        <f t="shared" ref="AH784" si="142">(AC784)/AB784</f>
        <v>#DIV/0!</v>
      </c>
    </row>
    <row r="785" spans="2:34" ht="35.1" customHeight="1" thickTop="1" thickBot="1" x14ac:dyDescent="0.25">
      <c r="B785" s="142"/>
      <c r="C785" s="142"/>
      <c r="D785" s="142"/>
      <c r="E785" s="142"/>
      <c r="F785" s="142"/>
      <c r="G785" s="142"/>
      <c r="H785" s="142"/>
      <c r="I785" s="159"/>
      <c r="J785" s="18" t="s">
        <v>29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e">
        <f t="shared" si="139"/>
        <v>#DIV/0!</v>
      </c>
      <c r="AA785" s="148"/>
      <c r="AB785" s="148"/>
      <c r="AC785" s="152"/>
      <c r="AD785" s="152"/>
      <c r="AE785" s="164"/>
      <c r="AF785" s="148"/>
      <c r="AG785" s="148"/>
      <c r="AH785" s="183"/>
    </row>
    <row r="786" spans="2:34" ht="35.1" customHeight="1" thickTop="1" thickBot="1" x14ac:dyDescent="0.25">
      <c r="B786" s="142"/>
      <c r="C786" s="142"/>
      <c r="D786" s="142"/>
      <c r="E786" s="142"/>
      <c r="F786" s="142"/>
      <c r="G786" s="142"/>
      <c r="H786" s="142"/>
      <c r="I786" s="159"/>
      <c r="J786" s="18" t="s">
        <v>28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e">
        <f t="shared" si="139"/>
        <v>#DIV/0!</v>
      </c>
      <c r="AA786" s="148"/>
      <c r="AB786" s="148"/>
      <c r="AC786" s="152"/>
      <c r="AD786" s="152"/>
      <c r="AE786" s="164"/>
      <c r="AF786" s="148"/>
      <c r="AG786" s="148"/>
      <c r="AH786" s="183"/>
    </row>
    <row r="787" spans="2:34" ht="35.1" customHeight="1" thickTop="1" thickBot="1" x14ac:dyDescent="0.25">
      <c r="B787" s="142"/>
      <c r="C787" s="142"/>
      <c r="D787" s="142"/>
      <c r="E787" s="142"/>
      <c r="F787" s="142"/>
      <c r="G787" s="142"/>
      <c r="H787" s="142"/>
      <c r="I787" s="159"/>
      <c r="J787" s="18" t="s">
        <v>27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e">
        <f t="shared" si="139"/>
        <v>#DIV/0!</v>
      </c>
      <c r="AA787" s="148"/>
      <c r="AB787" s="148"/>
      <c r="AC787" s="152"/>
      <c r="AD787" s="152"/>
      <c r="AE787" s="164"/>
      <c r="AF787" s="148"/>
      <c r="AG787" s="148"/>
      <c r="AH787" s="183"/>
    </row>
    <row r="788" spans="2:34" ht="35.1" customHeight="1" thickTop="1" thickBot="1" x14ac:dyDescent="0.25">
      <c r="B788" s="142"/>
      <c r="C788" s="142"/>
      <c r="D788" s="142"/>
      <c r="E788" s="142"/>
      <c r="F788" s="142"/>
      <c r="G788" s="142"/>
      <c r="H788" s="142"/>
      <c r="I788" s="159"/>
      <c r="J788" s="18" t="s">
        <v>26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e">
        <f t="shared" si="139"/>
        <v>#DIV/0!</v>
      </c>
      <c r="AA788" s="148"/>
      <c r="AB788" s="148"/>
      <c r="AC788" s="152"/>
      <c r="AD788" s="152"/>
      <c r="AE788" s="164"/>
      <c r="AF788" s="148"/>
      <c r="AG788" s="148"/>
      <c r="AH788" s="183"/>
    </row>
    <row r="789" spans="2:34" ht="35.1" customHeight="1" thickTop="1" thickBot="1" x14ac:dyDescent="0.25">
      <c r="B789" s="143"/>
      <c r="C789" s="143"/>
      <c r="D789" s="143"/>
      <c r="E789" s="143"/>
      <c r="F789" s="143"/>
      <c r="G789" s="143"/>
      <c r="H789" s="143"/>
      <c r="I789" s="160"/>
      <c r="J789" s="12" t="s">
        <v>25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e">
        <f t="shared" si="139"/>
        <v>#DIV/0!</v>
      </c>
      <c r="AA789" s="149"/>
      <c r="AB789" s="149"/>
      <c r="AC789" s="153"/>
      <c r="AD789" s="153"/>
      <c r="AE789" s="165"/>
      <c r="AF789" s="149"/>
      <c r="AG789" s="149"/>
      <c r="AH789" s="184"/>
    </row>
    <row r="790" spans="2:34" ht="35.1" customHeight="1" thickTop="1" thickBot="1" x14ac:dyDescent="0.25">
      <c r="B790" s="141"/>
      <c r="C790" s="141"/>
      <c r="D790" s="141"/>
      <c r="E790" s="141"/>
      <c r="F790" s="141"/>
      <c r="G790" s="141"/>
      <c r="H790" s="141"/>
      <c r="I790" s="158"/>
      <c r="J790" s="18" t="s">
        <v>30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e">
        <f t="shared" si="139"/>
        <v>#DIV/0!</v>
      </c>
      <c r="AA790" s="147" t="e">
        <f>AVERAGE(Z790,Z791,Z792,Z795)</f>
        <v>#DIV/0!</v>
      </c>
      <c r="AB790" s="150"/>
      <c r="AC790" s="151"/>
      <c r="AD790" s="151"/>
      <c r="AE790" s="163"/>
      <c r="AF790" s="150"/>
      <c r="AG790" s="150"/>
      <c r="AH790" s="182" t="e">
        <f t="shared" ref="AH790" si="143">(AC790)/AB790</f>
        <v>#DIV/0!</v>
      </c>
    </row>
    <row r="791" spans="2:34" ht="35.1" customHeight="1" thickTop="1" thickBot="1" x14ac:dyDescent="0.25">
      <c r="B791" s="142"/>
      <c r="C791" s="142"/>
      <c r="D791" s="142"/>
      <c r="E791" s="142"/>
      <c r="F791" s="142"/>
      <c r="G791" s="142"/>
      <c r="H791" s="142"/>
      <c r="I791" s="159"/>
      <c r="J791" s="18" t="s">
        <v>29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e">
        <f t="shared" si="139"/>
        <v>#DIV/0!</v>
      </c>
      <c r="AA791" s="148"/>
      <c r="AB791" s="148"/>
      <c r="AC791" s="152"/>
      <c r="AD791" s="152"/>
      <c r="AE791" s="164"/>
      <c r="AF791" s="148"/>
      <c r="AG791" s="148"/>
      <c r="AH791" s="183"/>
    </row>
    <row r="792" spans="2:34" ht="35.1" customHeight="1" thickTop="1" thickBot="1" x14ac:dyDescent="0.25">
      <c r="B792" s="142"/>
      <c r="C792" s="142"/>
      <c r="D792" s="142"/>
      <c r="E792" s="142"/>
      <c r="F792" s="142"/>
      <c r="G792" s="142"/>
      <c r="H792" s="142"/>
      <c r="I792" s="159"/>
      <c r="J792" s="18" t="s">
        <v>28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e">
        <f t="shared" si="139"/>
        <v>#DIV/0!</v>
      </c>
      <c r="AA792" s="148"/>
      <c r="AB792" s="148"/>
      <c r="AC792" s="152"/>
      <c r="AD792" s="152"/>
      <c r="AE792" s="164"/>
      <c r="AF792" s="148"/>
      <c r="AG792" s="148"/>
      <c r="AH792" s="183"/>
    </row>
    <row r="793" spans="2:34" ht="35.1" customHeight="1" thickTop="1" thickBot="1" x14ac:dyDescent="0.25">
      <c r="B793" s="142"/>
      <c r="C793" s="142"/>
      <c r="D793" s="142"/>
      <c r="E793" s="142"/>
      <c r="F793" s="142"/>
      <c r="G793" s="142"/>
      <c r="H793" s="142"/>
      <c r="I793" s="159"/>
      <c r="J793" s="18" t="s">
        <v>27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e">
        <f t="shared" si="139"/>
        <v>#DIV/0!</v>
      </c>
      <c r="AA793" s="148"/>
      <c r="AB793" s="148"/>
      <c r="AC793" s="152"/>
      <c r="AD793" s="152"/>
      <c r="AE793" s="164"/>
      <c r="AF793" s="148"/>
      <c r="AG793" s="148"/>
      <c r="AH793" s="183"/>
    </row>
    <row r="794" spans="2:34" ht="35.1" customHeight="1" thickTop="1" thickBot="1" x14ac:dyDescent="0.25">
      <c r="B794" s="142"/>
      <c r="C794" s="142"/>
      <c r="D794" s="142"/>
      <c r="E794" s="142"/>
      <c r="F794" s="142"/>
      <c r="G794" s="142"/>
      <c r="H794" s="142"/>
      <c r="I794" s="159"/>
      <c r="J794" s="18" t="s">
        <v>26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e">
        <f t="shared" si="139"/>
        <v>#DIV/0!</v>
      </c>
      <c r="AA794" s="148"/>
      <c r="AB794" s="148"/>
      <c r="AC794" s="152"/>
      <c r="AD794" s="152"/>
      <c r="AE794" s="164"/>
      <c r="AF794" s="148"/>
      <c r="AG794" s="148"/>
      <c r="AH794" s="183"/>
    </row>
    <row r="795" spans="2:34" ht="35.1" customHeight="1" thickTop="1" thickBot="1" x14ac:dyDescent="0.25">
      <c r="B795" s="143"/>
      <c r="C795" s="143"/>
      <c r="D795" s="143"/>
      <c r="E795" s="143"/>
      <c r="F795" s="143"/>
      <c r="G795" s="143"/>
      <c r="H795" s="143"/>
      <c r="I795" s="160"/>
      <c r="J795" s="12" t="s">
        <v>25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e">
        <f t="shared" si="139"/>
        <v>#DIV/0!</v>
      </c>
      <c r="AA795" s="149"/>
      <c r="AB795" s="149"/>
      <c r="AC795" s="153"/>
      <c r="AD795" s="153"/>
      <c r="AE795" s="165"/>
      <c r="AF795" s="149"/>
      <c r="AG795" s="149"/>
      <c r="AH795" s="184"/>
    </row>
    <row r="796" spans="2:34" ht="35.1" customHeight="1" thickTop="1" thickBot="1" x14ac:dyDescent="0.25">
      <c r="B796" s="141"/>
      <c r="C796" s="141"/>
      <c r="D796" s="141"/>
      <c r="E796" s="141"/>
      <c r="F796" s="141"/>
      <c r="G796" s="141"/>
      <c r="H796" s="141"/>
      <c r="I796" s="158"/>
      <c r="J796" s="18" t="s">
        <v>30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e">
        <f t="shared" si="139"/>
        <v>#DIV/0!</v>
      </c>
      <c r="AA796" s="147" t="e">
        <f>AVERAGE(Z796,Z797,Z798,Z801)</f>
        <v>#DIV/0!</v>
      </c>
      <c r="AB796" s="150"/>
      <c r="AC796" s="151"/>
      <c r="AD796" s="151"/>
      <c r="AE796" s="163"/>
      <c r="AF796" s="150"/>
      <c r="AG796" s="150"/>
      <c r="AH796" s="182" t="e">
        <f t="shared" ref="AH796" si="144">(AC796)/AB796</f>
        <v>#DIV/0!</v>
      </c>
    </row>
    <row r="797" spans="2:34" ht="35.1" customHeight="1" thickTop="1" thickBot="1" x14ac:dyDescent="0.25">
      <c r="B797" s="142"/>
      <c r="C797" s="142"/>
      <c r="D797" s="142"/>
      <c r="E797" s="142"/>
      <c r="F797" s="142"/>
      <c r="G797" s="142"/>
      <c r="H797" s="142"/>
      <c r="I797" s="159"/>
      <c r="J797" s="18" t="s">
        <v>29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e">
        <f t="shared" si="139"/>
        <v>#DIV/0!</v>
      </c>
      <c r="AA797" s="148"/>
      <c r="AB797" s="148"/>
      <c r="AC797" s="152"/>
      <c r="AD797" s="152"/>
      <c r="AE797" s="164"/>
      <c r="AF797" s="148"/>
      <c r="AG797" s="148"/>
      <c r="AH797" s="183"/>
    </row>
    <row r="798" spans="2:34" ht="35.1" customHeight="1" thickTop="1" thickBot="1" x14ac:dyDescent="0.25">
      <c r="B798" s="142"/>
      <c r="C798" s="142"/>
      <c r="D798" s="142"/>
      <c r="E798" s="142"/>
      <c r="F798" s="142"/>
      <c r="G798" s="142"/>
      <c r="H798" s="142"/>
      <c r="I798" s="159"/>
      <c r="J798" s="18" t="s">
        <v>28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e">
        <f t="shared" si="139"/>
        <v>#DIV/0!</v>
      </c>
      <c r="AA798" s="148"/>
      <c r="AB798" s="148"/>
      <c r="AC798" s="152"/>
      <c r="AD798" s="152"/>
      <c r="AE798" s="164"/>
      <c r="AF798" s="148"/>
      <c r="AG798" s="148"/>
      <c r="AH798" s="183"/>
    </row>
    <row r="799" spans="2:34" ht="35.1" customHeight="1" thickTop="1" thickBot="1" x14ac:dyDescent="0.25">
      <c r="B799" s="142"/>
      <c r="C799" s="142"/>
      <c r="D799" s="142"/>
      <c r="E799" s="142"/>
      <c r="F799" s="142"/>
      <c r="G799" s="142"/>
      <c r="H799" s="142"/>
      <c r="I799" s="159"/>
      <c r="J799" s="18" t="s">
        <v>27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e">
        <f t="shared" si="139"/>
        <v>#DIV/0!</v>
      </c>
      <c r="AA799" s="148"/>
      <c r="AB799" s="148"/>
      <c r="AC799" s="152"/>
      <c r="AD799" s="152"/>
      <c r="AE799" s="164"/>
      <c r="AF799" s="148"/>
      <c r="AG799" s="148"/>
      <c r="AH799" s="183"/>
    </row>
    <row r="800" spans="2:34" ht="35.1" customHeight="1" thickTop="1" thickBot="1" x14ac:dyDescent="0.25">
      <c r="B800" s="142"/>
      <c r="C800" s="142"/>
      <c r="D800" s="142"/>
      <c r="E800" s="142"/>
      <c r="F800" s="142"/>
      <c r="G800" s="142"/>
      <c r="H800" s="142"/>
      <c r="I800" s="159"/>
      <c r="J800" s="18" t="s">
        <v>26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e">
        <f t="shared" si="139"/>
        <v>#DIV/0!</v>
      </c>
      <c r="AA800" s="148"/>
      <c r="AB800" s="148"/>
      <c r="AC800" s="152"/>
      <c r="AD800" s="152"/>
      <c r="AE800" s="164"/>
      <c r="AF800" s="148"/>
      <c r="AG800" s="148"/>
      <c r="AH800" s="183"/>
    </row>
    <row r="801" spans="2:34" ht="35.1" customHeight="1" thickTop="1" thickBot="1" x14ac:dyDescent="0.25">
      <c r="B801" s="143"/>
      <c r="C801" s="143"/>
      <c r="D801" s="143"/>
      <c r="E801" s="143"/>
      <c r="F801" s="143"/>
      <c r="G801" s="143"/>
      <c r="H801" s="143"/>
      <c r="I801" s="160"/>
      <c r="J801" s="12" t="s">
        <v>25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e">
        <f t="shared" si="139"/>
        <v>#DIV/0!</v>
      </c>
      <c r="AA801" s="149"/>
      <c r="AB801" s="149"/>
      <c r="AC801" s="153"/>
      <c r="AD801" s="153"/>
      <c r="AE801" s="165"/>
      <c r="AF801" s="149"/>
      <c r="AG801" s="149"/>
      <c r="AH801" s="184"/>
    </row>
    <row r="802" spans="2:34" ht="35.1" customHeight="1" thickTop="1" thickBot="1" x14ac:dyDescent="0.25">
      <c r="B802" s="141"/>
      <c r="C802" s="141"/>
      <c r="D802" s="141"/>
      <c r="E802" s="141"/>
      <c r="F802" s="141"/>
      <c r="G802" s="141"/>
      <c r="H802" s="141"/>
      <c r="I802" s="158"/>
      <c r="J802" s="18" t="s">
        <v>30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e">
        <f t="shared" si="139"/>
        <v>#DIV/0!</v>
      </c>
      <c r="AA802" s="147" t="e">
        <f>AVERAGE(Z802,Z803,Z804,Z807)</f>
        <v>#DIV/0!</v>
      </c>
      <c r="AB802" s="150"/>
      <c r="AC802" s="151"/>
      <c r="AD802" s="151"/>
      <c r="AE802" s="163"/>
      <c r="AF802" s="150"/>
      <c r="AG802" s="150"/>
      <c r="AH802" s="182" t="e">
        <f t="shared" ref="AH802" si="145">(AC802)/AB802</f>
        <v>#DIV/0!</v>
      </c>
    </row>
    <row r="803" spans="2:34" ht="35.1" customHeight="1" thickTop="1" thickBot="1" x14ac:dyDescent="0.25">
      <c r="B803" s="142"/>
      <c r="C803" s="142"/>
      <c r="D803" s="142"/>
      <c r="E803" s="142"/>
      <c r="F803" s="142"/>
      <c r="G803" s="142"/>
      <c r="H803" s="142"/>
      <c r="I803" s="159"/>
      <c r="J803" s="18" t="s">
        <v>29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e">
        <f t="shared" si="139"/>
        <v>#DIV/0!</v>
      </c>
      <c r="AA803" s="148"/>
      <c r="AB803" s="148"/>
      <c r="AC803" s="152"/>
      <c r="AD803" s="152"/>
      <c r="AE803" s="164"/>
      <c r="AF803" s="148"/>
      <c r="AG803" s="148"/>
      <c r="AH803" s="183"/>
    </row>
    <row r="804" spans="2:34" ht="35.1" customHeight="1" thickTop="1" thickBot="1" x14ac:dyDescent="0.25">
      <c r="B804" s="142"/>
      <c r="C804" s="142"/>
      <c r="D804" s="142"/>
      <c r="E804" s="142"/>
      <c r="F804" s="142"/>
      <c r="G804" s="142"/>
      <c r="H804" s="142"/>
      <c r="I804" s="159"/>
      <c r="J804" s="18" t="s">
        <v>28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e">
        <f t="shared" si="139"/>
        <v>#DIV/0!</v>
      </c>
      <c r="AA804" s="148"/>
      <c r="AB804" s="148"/>
      <c r="AC804" s="152"/>
      <c r="AD804" s="152"/>
      <c r="AE804" s="164"/>
      <c r="AF804" s="148"/>
      <c r="AG804" s="148"/>
      <c r="AH804" s="183"/>
    </row>
    <row r="805" spans="2:34" ht="35.1" customHeight="1" thickTop="1" thickBot="1" x14ac:dyDescent="0.25">
      <c r="B805" s="142"/>
      <c r="C805" s="142"/>
      <c r="D805" s="142"/>
      <c r="E805" s="142"/>
      <c r="F805" s="142"/>
      <c r="G805" s="142"/>
      <c r="H805" s="142"/>
      <c r="I805" s="159"/>
      <c r="J805" s="18" t="s">
        <v>27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e">
        <f t="shared" si="139"/>
        <v>#DIV/0!</v>
      </c>
      <c r="AA805" s="148"/>
      <c r="AB805" s="148"/>
      <c r="AC805" s="152"/>
      <c r="AD805" s="152"/>
      <c r="AE805" s="164"/>
      <c r="AF805" s="148"/>
      <c r="AG805" s="148"/>
      <c r="AH805" s="183"/>
    </row>
    <row r="806" spans="2:34" ht="35.1" customHeight="1" thickTop="1" thickBot="1" x14ac:dyDescent="0.25">
      <c r="B806" s="142"/>
      <c r="C806" s="142"/>
      <c r="D806" s="142"/>
      <c r="E806" s="142"/>
      <c r="F806" s="142"/>
      <c r="G806" s="142"/>
      <c r="H806" s="142"/>
      <c r="I806" s="159"/>
      <c r="J806" s="18" t="s">
        <v>26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e">
        <f t="shared" si="139"/>
        <v>#DIV/0!</v>
      </c>
      <c r="AA806" s="148"/>
      <c r="AB806" s="148"/>
      <c r="AC806" s="152"/>
      <c r="AD806" s="152"/>
      <c r="AE806" s="164"/>
      <c r="AF806" s="148"/>
      <c r="AG806" s="148"/>
      <c r="AH806" s="183"/>
    </row>
    <row r="807" spans="2:34" ht="35.1" customHeight="1" thickTop="1" thickBot="1" x14ac:dyDescent="0.25">
      <c r="B807" s="143"/>
      <c r="C807" s="143"/>
      <c r="D807" s="143"/>
      <c r="E807" s="143"/>
      <c r="F807" s="143"/>
      <c r="G807" s="143"/>
      <c r="H807" s="143"/>
      <c r="I807" s="160"/>
      <c r="J807" s="12" t="s">
        <v>25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e">
        <f t="shared" si="139"/>
        <v>#DIV/0!</v>
      </c>
      <c r="AA807" s="149"/>
      <c r="AB807" s="149"/>
      <c r="AC807" s="153"/>
      <c r="AD807" s="153"/>
      <c r="AE807" s="165"/>
      <c r="AF807" s="149"/>
      <c r="AG807" s="149"/>
      <c r="AH807" s="184"/>
    </row>
    <row r="808" spans="2:34" ht="35.1" customHeight="1" thickTop="1" thickBot="1" x14ac:dyDescent="0.25">
      <c r="B808" s="141"/>
      <c r="C808" s="141"/>
      <c r="D808" s="141"/>
      <c r="E808" s="141"/>
      <c r="F808" s="141"/>
      <c r="G808" s="141"/>
      <c r="H808" s="141"/>
      <c r="I808" s="158"/>
      <c r="J808" s="18" t="s">
        <v>30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e">
        <f t="shared" si="139"/>
        <v>#DIV/0!</v>
      </c>
      <c r="AA808" s="147" t="e">
        <f>AVERAGE(Z808,Z809,Z810,Z813)</f>
        <v>#DIV/0!</v>
      </c>
      <c r="AB808" s="150"/>
      <c r="AC808" s="151"/>
      <c r="AD808" s="151"/>
      <c r="AE808" s="163"/>
      <c r="AF808" s="150"/>
      <c r="AG808" s="150"/>
      <c r="AH808" s="182" t="e">
        <f t="shared" ref="AH808" si="146">(AC808)/AB808</f>
        <v>#DIV/0!</v>
      </c>
    </row>
    <row r="809" spans="2:34" ht="35.1" customHeight="1" thickTop="1" thickBot="1" x14ac:dyDescent="0.25">
      <c r="B809" s="142"/>
      <c r="C809" s="142"/>
      <c r="D809" s="142"/>
      <c r="E809" s="142"/>
      <c r="F809" s="142"/>
      <c r="G809" s="142"/>
      <c r="H809" s="142"/>
      <c r="I809" s="159"/>
      <c r="J809" s="18" t="s">
        <v>29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e">
        <f t="shared" si="139"/>
        <v>#DIV/0!</v>
      </c>
      <c r="AA809" s="148"/>
      <c r="AB809" s="148"/>
      <c r="AC809" s="152"/>
      <c r="AD809" s="152"/>
      <c r="AE809" s="164"/>
      <c r="AF809" s="148"/>
      <c r="AG809" s="148"/>
      <c r="AH809" s="183"/>
    </row>
    <row r="810" spans="2:34" ht="35.1" customHeight="1" thickTop="1" thickBot="1" x14ac:dyDescent="0.25">
      <c r="B810" s="142"/>
      <c r="C810" s="142"/>
      <c r="D810" s="142"/>
      <c r="E810" s="142"/>
      <c r="F810" s="142"/>
      <c r="G810" s="142"/>
      <c r="H810" s="142"/>
      <c r="I810" s="159"/>
      <c r="J810" s="18" t="s">
        <v>28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e">
        <f t="shared" si="139"/>
        <v>#DIV/0!</v>
      </c>
      <c r="AA810" s="148"/>
      <c r="AB810" s="148"/>
      <c r="AC810" s="152"/>
      <c r="AD810" s="152"/>
      <c r="AE810" s="164"/>
      <c r="AF810" s="148"/>
      <c r="AG810" s="148"/>
      <c r="AH810" s="183"/>
    </row>
    <row r="811" spans="2:34" ht="35.1" customHeight="1" thickTop="1" thickBot="1" x14ac:dyDescent="0.25">
      <c r="B811" s="142"/>
      <c r="C811" s="142"/>
      <c r="D811" s="142"/>
      <c r="E811" s="142"/>
      <c r="F811" s="142"/>
      <c r="G811" s="142"/>
      <c r="H811" s="142"/>
      <c r="I811" s="159"/>
      <c r="J811" s="18" t="s">
        <v>27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e">
        <f t="shared" si="139"/>
        <v>#DIV/0!</v>
      </c>
      <c r="AA811" s="148"/>
      <c r="AB811" s="148"/>
      <c r="AC811" s="152"/>
      <c r="AD811" s="152"/>
      <c r="AE811" s="164"/>
      <c r="AF811" s="148"/>
      <c r="AG811" s="148"/>
      <c r="AH811" s="183"/>
    </row>
    <row r="812" spans="2:34" ht="35.1" customHeight="1" thickTop="1" thickBot="1" x14ac:dyDescent="0.25">
      <c r="B812" s="142"/>
      <c r="C812" s="142"/>
      <c r="D812" s="142"/>
      <c r="E812" s="142"/>
      <c r="F812" s="142"/>
      <c r="G812" s="142"/>
      <c r="H812" s="142"/>
      <c r="I812" s="159"/>
      <c r="J812" s="18" t="s">
        <v>26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e">
        <f t="shared" si="139"/>
        <v>#DIV/0!</v>
      </c>
      <c r="AA812" s="148"/>
      <c r="AB812" s="148"/>
      <c r="AC812" s="152"/>
      <c r="AD812" s="152"/>
      <c r="AE812" s="164"/>
      <c r="AF812" s="148"/>
      <c r="AG812" s="148"/>
      <c r="AH812" s="183"/>
    </row>
    <row r="813" spans="2:34" ht="35.1" customHeight="1" thickTop="1" thickBot="1" x14ac:dyDescent="0.25">
      <c r="B813" s="143"/>
      <c r="C813" s="143"/>
      <c r="D813" s="143"/>
      <c r="E813" s="143"/>
      <c r="F813" s="143"/>
      <c r="G813" s="143"/>
      <c r="H813" s="143"/>
      <c r="I813" s="160"/>
      <c r="J813" s="12" t="s">
        <v>25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e">
        <f t="shared" si="139"/>
        <v>#DIV/0!</v>
      </c>
      <c r="AA813" s="149"/>
      <c r="AB813" s="149"/>
      <c r="AC813" s="153"/>
      <c r="AD813" s="153"/>
      <c r="AE813" s="165"/>
      <c r="AF813" s="149"/>
      <c r="AG813" s="149"/>
      <c r="AH813" s="184"/>
    </row>
    <row r="814" spans="2:34" ht="35.1" customHeight="1" thickTop="1" thickBot="1" x14ac:dyDescent="0.25">
      <c r="B814" s="141"/>
      <c r="C814" s="141"/>
      <c r="D814" s="141"/>
      <c r="E814" s="141"/>
      <c r="F814" s="141"/>
      <c r="G814" s="141"/>
      <c r="H814" s="141"/>
      <c r="I814" s="158"/>
      <c r="J814" s="18" t="s">
        <v>30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e">
        <f t="shared" si="139"/>
        <v>#DIV/0!</v>
      </c>
      <c r="AA814" s="147" t="e">
        <f>AVERAGE(Z814,Z815,Z816,Z819)</f>
        <v>#DIV/0!</v>
      </c>
      <c r="AB814" s="150"/>
      <c r="AC814" s="151"/>
      <c r="AD814" s="151"/>
      <c r="AE814" s="163"/>
      <c r="AF814" s="150"/>
      <c r="AG814" s="150"/>
      <c r="AH814" s="182" t="e">
        <f t="shared" ref="AH814" si="147">(AC814)/AB814</f>
        <v>#DIV/0!</v>
      </c>
    </row>
    <row r="815" spans="2:34" ht="35.1" customHeight="1" thickTop="1" thickBot="1" x14ac:dyDescent="0.25">
      <c r="B815" s="142"/>
      <c r="C815" s="142"/>
      <c r="D815" s="142"/>
      <c r="E815" s="142"/>
      <c r="F815" s="142"/>
      <c r="G815" s="142"/>
      <c r="H815" s="142"/>
      <c r="I815" s="159"/>
      <c r="J815" s="18" t="s">
        <v>29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e">
        <f t="shared" si="139"/>
        <v>#DIV/0!</v>
      </c>
      <c r="AA815" s="148"/>
      <c r="AB815" s="148"/>
      <c r="AC815" s="152"/>
      <c r="AD815" s="152"/>
      <c r="AE815" s="164"/>
      <c r="AF815" s="148"/>
      <c r="AG815" s="148"/>
      <c r="AH815" s="183"/>
    </row>
    <row r="816" spans="2:34" ht="35.1" customHeight="1" thickTop="1" thickBot="1" x14ac:dyDescent="0.25">
      <c r="B816" s="142"/>
      <c r="C816" s="142"/>
      <c r="D816" s="142"/>
      <c r="E816" s="142"/>
      <c r="F816" s="142"/>
      <c r="G816" s="142"/>
      <c r="H816" s="142"/>
      <c r="I816" s="159"/>
      <c r="J816" s="18" t="s">
        <v>28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e">
        <f t="shared" si="139"/>
        <v>#DIV/0!</v>
      </c>
      <c r="AA816" s="148"/>
      <c r="AB816" s="148"/>
      <c r="AC816" s="152"/>
      <c r="AD816" s="152"/>
      <c r="AE816" s="164"/>
      <c r="AF816" s="148"/>
      <c r="AG816" s="148"/>
      <c r="AH816" s="183"/>
    </row>
    <row r="817" spans="2:34" ht="35.1" customHeight="1" thickTop="1" thickBot="1" x14ac:dyDescent="0.25">
      <c r="B817" s="142"/>
      <c r="C817" s="142"/>
      <c r="D817" s="142"/>
      <c r="E817" s="142"/>
      <c r="F817" s="142"/>
      <c r="G817" s="142"/>
      <c r="H817" s="142"/>
      <c r="I817" s="159"/>
      <c r="J817" s="18" t="s">
        <v>27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e">
        <f t="shared" si="139"/>
        <v>#DIV/0!</v>
      </c>
      <c r="AA817" s="148"/>
      <c r="AB817" s="148"/>
      <c r="AC817" s="152"/>
      <c r="AD817" s="152"/>
      <c r="AE817" s="164"/>
      <c r="AF817" s="148"/>
      <c r="AG817" s="148"/>
      <c r="AH817" s="183"/>
    </row>
    <row r="818" spans="2:34" ht="35.1" customHeight="1" thickTop="1" thickBot="1" x14ac:dyDescent="0.25">
      <c r="B818" s="142"/>
      <c r="C818" s="142"/>
      <c r="D818" s="142"/>
      <c r="E818" s="142"/>
      <c r="F818" s="142"/>
      <c r="G818" s="142"/>
      <c r="H818" s="142"/>
      <c r="I818" s="159"/>
      <c r="J818" s="18" t="s">
        <v>26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e">
        <f t="shared" si="139"/>
        <v>#DIV/0!</v>
      </c>
      <c r="AA818" s="148"/>
      <c r="AB818" s="148"/>
      <c r="AC818" s="152"/>
      <c r="AD818" s="152"/>
      <c r="AE818" s="164"/>
      <c r="AF818" s="148"/>
      <c r="AG818" s="148"/>
      <c r="AH818" s="183"/>
    </row>
    <row r="819" spans="2:34" ht="35.1" customHeight="1" thickTop="1" thickBot="1" x14ac:dyDescent="0.25">
      <c r="B819" s="143"/>
      <c r="C819" s="143"/>
      <c r="D819" s="143"/>
      <c r="E819" s="143"/>
      <c r="F819" s="143"/>
      <c r="G819" s="143"/>
      <c r="H819" s="143"/>
      <c r="I819" s="160"/>
      <c r="J819" s="12" t="s">
        <v>25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e">
        <f t="shared" si="139"/>
        <v>#DIV/0!</v>
      </c>
      <c r="AA819" s="149"/>
      <c r="AB819" s="149"/>
      <c r="AC819" s="153"/>
      <c r="AD819" s="153"/>
      <c r="AE819" s="165"/>
      <c r="AF819" s="149"/>
      <c r="AG819" s="149"/>
      <c r="AH819" s="184"/>
    </row>
    <row r="820" spans="2:34" ht="35.1" customHeight="1" thickTop="1" thickBot="1" x14ac:dyDescent="0.25">
      <c r="B820" s="141"/>
      <c r="C820" s="141"/>
      <c r="D820" s="141"/>
      <c r="E820" s="141"/>
      <c r="F820" s="141"/>
      <c r="G820" s="141"/>
      <c r="H820" s="141"/>
      <c r="I820" s="158"/>
      <c r="J820" s="18" t="s">
        <v>30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e">
        <f t="shared" si="139"/>
        <v>#DIV/0!</v>
      </c>
      <c r="AA820" s="147" t="e">
        <f>AVERAGE(Z820,Z821,Z822,Z825)</f>
        <v>#DIV/0!</v>
      </c>
      <c r="AB820" s="150"/>
      <c r="AC820" s="151"/>
      <c r="AD820" s="151"/>
      <c r="AE820" s="163"/>
      <c r="AF820" s="150"/>
      <c r="AG820" s="150"/>
      <c r="AH820" s="182" t="e">
        <f t="shared" ref="AH820" si="148">(AC820)/AB820</f>
        <v>#DIV/0!</v>
      </c>
    </row>
    <row r="821" spans="2:34" ht="35.1" customHeight="1" thickTop="1" thickBot="1" x14ac:dyDescent="0.25">
      <c r="B821" s="142"/>
      <c r="C821" s="142"/>
      <c r="D821" s="142"/>
      <c r="E821" s="142"/>
      <c r="F821" s="142"/>
      <c r="G821" s="142"/>
      <c r="H821" s="142"/>
      <c r="I821" s="159"/>
      <c r="J821" s="18" t="s">
        <v>29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e">
        <f t="shared" si="139"/>
        <v>#DIV/0!</v>
      </c>
      <c r="AA821" s="148"/>
      <c r="AB821" s="148"/>
      <c r="AC821" s="152"/>
      <c r="AD821" s="152"/>
      <c r="AE821" s="164"/>
      <c r="AF821" s="148"/>
      <c r="AG821" s="148"/>
      <c r="AH821" s="183"/>
    </row>
    <row r="822" spans="2:34" ht="35.1" customHeight="1" thickTop="1" thickBot="1" x14ac:dyDescent="0.25">
      <c r="B822" s="142"/>
      <c r="C822" s="142"/>
      <c r="D822" s="142"/>
      <c r="E822" s="142"/>
      <c r="F822" s="142"/>
      <c r="G822" s="142"/>
      <c r="H822" s="142"/>
      <c r="I822" s="159"/>
      <c r="J822" s="18" t="s">
        <v>28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e">
        <f t="shared" si="139"/>
        <v>#DIV/0!</v>
      </c>
      <c r="AA822" s="148"/>
      <c r="AB822" s="148"/>
      <c r="AC822" s="152"/>
      <c r="AD822" s="152"/>
      <c r="AE822" s="164"/>
      <c r="AF822" s="148"/>
      <c r="AG822" s="148"/>
      <c r="AH822" s="183"/>
    </row>
    <row r="823" spans="2:34" ht="35.1" customHeight="1" thickTop="1" thickBot="1" x14ac:dyDescent="0.25">
      <c r="B823" s="142"/>
      <c r="C823" s="142"/>
      <c r="D823" s="142"/>
      <c r="E823" s="142"/>
      <c r="F823" s="142"/>
      <c r="G823" s="142"/>
      <c r="H823" s="142"/>
      <c r="I823" s="159"/>
      <c r="J823" s="18" t="s">
        <v>27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e">
        <f t="shared" si="139"/>
        <v>#DIV/0!</v>
      </c>
      <c r="AA823" s="148"/>
      <c r="AB823" s="148"/>
      <c r="AC823" s="152"/>
      <c r="AD823" s="152"/>
      <c r="AE823" s="164"/>
      <c r="AF823" s="148"/>
      <c r="AG823" s="148"/>
      <c r="AH823" s="183"/>
    </row>
    <row r="824" spans="2:34" ht="35.1" customHeight="1" thickTop="1" thickBot="1" x14ac:dyDescent="0.25">
      <c r="B824" s="142"/>
      <c r="C824" s="142"/>
      <c r="D824" s="142"/>
      <c r="E824" s="142"/>
      <c r="F824" s="142"/>
      <c r="G824" s="142"/>
      <c r="H824" s="142"/>
      <c r="I824" s="159"/>
      <c r="J824" s="18" t="s">
        <v>26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e">
        <f t="shared" si="139"/>
        <v>#DIV/0!</v>
      </c>
      <c r="AA824" s="148"/>
      <c r="AB824" s="148"/>
      <c r="AC824" s="152"/>
      <c r="AD824" s="152"/>
      <c r="AE824" s="164"/>
      <c r="AF824" s="148"/>
      <c r="AG824" s="148"/>
      <c r="AH824" s="183"/>
    </row>
    <row r="825" spans="2:34" ht="35.1" customHeight="1" thickTop="1" thickBot="1" x14ac:dyDescent="0.25">
      <c r="B825" s="143"/>
      <c r="C825" s="143"/>
      <c r="D825" s="143"/>
      <c r="E825" s="143"/>
      <c r="F825" s="143"/>
      <c r="G825" s="143"/>
      <c r="H825" s="143"/>
      <c r="I825" s="160"/>
      <c r="J825" s="12" t="s">
        <v>25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e">
        <f t="shared" si="139"/>
        <v>#DIV/0!</v>
      </c>
      <c r="AA825" s="149"/>
      <c r="AB825" s="149"/>
      <c r="AC825" s="153"/>
      <c r="AD825" s="153"/>
      <c r="AE825" s="165"/>
      <c r="AF825" s="149"/>
      <c r="AG825" s="149"/>
      <c r="AH825" s="184"/>
    </row>
    <row r="826" spans="2:34" ht="35.1" customHeight="1" thickTop="1" thickBot="1" x14ac:dyDescent="0.25">
      <c r="B826" s="141"/>
      <c r="C826" s="141"/>
      <c r="D826" s="141"/>
      <c r="E826" s="141"/>
      <c r="F826" s="141"/>
      <c r="G826" s="141"/>
      <c r="H826" s="141"/>
      <c r="I826" s="158"/>
      <c r="J826" s="18" t="s">
        <v>30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e">
        <f t="shared" si="139"/>
        <v>#DIV/0!</v>
      </c>
      <c r="AA826" s="147" t="e">
        <f>AVERAGE(Z826,Z827,Z828,Z831)</f>
        <v>#DIV/0!</v>
      </c>
      <c r="AB826" s="150"/>
      <c r="AC826" s="151"/>
      <c r="AD826" s="151"/>
      <c r="AE826" s="163"/>
      <c r="AF826" s="150"/>
      <c r="AG826" s="150"/>
      <c r="AH826" s="182" t="e">
        <f t="shared" ref="AH826" si="149">(AC826)/AB826</f>
        <v>#DIV/0!</v>
      </c>
    </row>
    <row r="827" spans="2:34" ht="35.1" customHeight="1" thickTop="1" thickBot="1" x14ac:dyDescent="0.25">
      <c r="B827" s="142"/>
      <c r="C827" s="142"/>
      <c r="D827" s="142"/>
      <c r="E827" s="142"/>
      <c r="F827" s="142"/>
      <c r="G827" s="142"/>
      <c r="H827" s="142"/>
      <c r="I827" s="159"/>
      <c r="J827" s="18" t="s">
        <v>29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e">
        <f t="shared" si="139"/>
        <v>#DIV/0!</v>
      </c>
      <c r="AA827" s="148"/>
      <c r="AB827" s="148"/>
      <c r="AC827" s="152"/>
      <c r="AD827" s="152"/>
      <c r="AE827" s="164"/>
      <c r="AF827" s="148"/>
      <c r="AG827" s="148"/>
      <c r="AH827" s="183"/>
    </row>
    <row r="828" spans="2:34" ht="35.1" customHeight="1" thickTop="1" thickBot="1" x14ac:dyDescent="0.25">
      <c r="B828" s="142"/>
      <c r="C828" s="142"/>
      <c r="D828" s="142"/>
      <c r="E828" s="142"/>
      <c r="F828" s="142"/>
      <c r="G828" s="142"/>
      <c r="H828" s="142"/>
      <c r="I828" s="159"/>
      <c r="J828" s="18" t="s">
        <v>28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e">
        <f t="shared" si="139"/>
        <v>#DIV/0!</v>
      </c>
      <c r="AA828" s="148"/>
      <c r="AB828" s="148"/>
      <c r="AC828" s="152"/>
      <c r="AD828" s="152"/>
      <c r="AE828" s="164"/>
      <c r="AF828" s="148"/>
      <c r="AG828" s="148"/>
      <c r="AH828" s="183"/>
    </row>
    <row r="829" spans="2:34" ht="35.1" customHeight="1" thickTop="1" thickBot="1" x14ac:dyDescent="0.25">
      <c r="B829" s="142"/>
      <c r="C829" s="142"/>
      <c r="D829" s="142"/>
      <c r="E829" s="142"/>
      <c r="F829" s="142"/>
      <c r="G829" s="142"/>
      <c r="H829" s="142"/>
      <c r="I829" s="159"/>
      <c r="J829" s="18" t="s">
        <v>27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e">
        <f t="shared" si="139"/>
        <v>#DIV/0!</v>
      </c>
      <c r="AA829" s="148"/>
      <c r="AB829" s="148"/>
      <c r="AC829" s="152"/>
      <c r="AD829" s="152"/>
      <c r="AE829" s="164"/>
      <c r="AF829" s="148"/>
      <c r="AG829" s="148"/>
      <c r="AH829" s="183"/>
    </row>
    <row r="830" spans="2:34" ht="35.1" customHeight="1" thickTop="1" thickBot="1" x14ac:dyDescent="0.25">
      <c r="B830" s="142"/>
      <c r="C830" s="142"/>
      <c r="D830" s="142"/>
      <c r="E830" s="142"/>
      <c r="F830" s="142"/>
      <c r="G830" s="142"/>
      <c r="H830" s="142"/>
      <c r="I830" s="159"/>
      <c r="J830" s="18" t="s">
        <v>26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e">
        <f t="shared" si="139"/>
        <v>#DIV/0!</v>
      </c>
      <c r="AA830" s="148"/>
      <c r="AB830" s="148"/>
      <c r="AC830" s="152"/>
      <c r="AD830" s="152"/>
      <c r="AE830" s="164"/>
      <c r="AF830" s="148"/>
      <c r="AG830" s="148"/>
      <c r="AH830" s="183"/>
    </row>
    <row r="831" spans="2:34" ht="35.1" customHeight="1" thickTop="1" thickBot="1" x14ac:dyDescent="0.25">
      <c r="B831" s="143"/>
      <c r="C831" s="143"/>
      <c r="D831" s="143"/>
      <c r="E831" s="143"/>
      <c r="F831" s="143"/>
      <c r="G831" s="143"/>
      <c r="H831" s="143"/>
      <c r="I831" s="160"/>
      <c r="J831" s="12" t="s">
        <v>25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e">
        <f t="shared" si="139"/>
        <v>#DIV/0!</v>
      </c>
      <c r="AA831" s="149"/>
      <c r="AB831" s="149"/>
      <c r="AC831" s="153"/>
      <c r="AD831" s="153"/>
      <c r="AE831" s="165"/>
      <c r="AF831" s="149"/>
      <c r="AG831" s="149"/>
      <c r="AH831" s="184"/>
    </row>
    <row r="832" spans="2:34" ht="35.1" customHeight="1" thickTop="1" thickBot="1" x14ac:dyDescent="0.25">
      <c r="B832" s="141"/>
      <c r="C832" s="141"/>
      <c r="D832" s="141"/>
      <c r="E832" s="141"/>
      <c r="F832" s="141"/>
      <c r="G832" s="141"/>
      <c r="H832" s="141"/>
      <c r="I832" s="158"/>
      <c r="J832" s="18" t="s">
        <v>30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e">
        <f t="shared" si="139"/>
        <v>#DIV/0!</v>
      </c>
      <c r="AA832" s="147" t="e">
        <f>AVERAGE(Z832,Z833,Z834,Z837)</f>
        <v>#DIV/0!</v>
      </c>
      <c r="AB832" s="150"/>
      <c r="AC832" s="151"/>
      <c r="AD832" s="151"/>
      <c r="AE832" s="163"/>
      <c r="AF832" s="150"/>
      <c r="AG832" s="150"/>
      <c r="AH832" s="182" t="e">
        <f t="shared" ref="AH832" si="150">(AC832)/AB832</f>
        <v>#DIV/0!</v>
      </c>
    </row>
    <row r="833" spans="2:34" ht="35.1" customHeight="1" thickTop="1" thickBot="1" x14ac:dyDescent="0.25">
      <c r="B833" s="142"/>
      <c r="C833" s="142"/>
      <c r="D833" s="142"/>
      <c r="E833" s="142"/>
      <c r="F833" s="142"/>
      <c r="G833" s="142"/>
      <c r="H833" s="142"/>
      <c r="I833" s="159"/>
      <c r="J833" s="18" t="s">
        <v>29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e">
        <f t="shared" si="139"/>
        <v>#DIV/0!</v>
      </c>
      <c r="AA833" s="148"/>
      <c r="AB833" s="148"/>
      <c r="AC833" s="152"/>
      <c r="AD833" s="152"/>
      <c r="AE833" s="164"/>
      <c r="AF833" s="148"/>
      <c r="AG833" s="148"/>
      <c r="AH833" s="183"/>
    </row>
    <row r="834" spans="2:34" ht="35.1" customHeight="1" thickTop="1" thickBot="1" x14ac:dyDescent="0.25">
      <c r="B834" s="142"/>
      <c r="C834" s="142"/>
      <c r="D834" s="142"/>
      <c r="E834" s="142"/>
      <c r="F834" s="142"/>
      <c r="G834" s="142"/>
      <c r="H834" s="142"/>
      <c r="I834" s="159"/>
      <c r="J834" s="18" t="s">
        <v>28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e">
        <f t="shared" si="139"/>
        <v>#DIV/0!</v>
      </c>
      <c r="AA834" s="148"/>
      <c r="AB834" s="148"/>
      <c r="AC834" s="152"/>
      <c r="AD834" s="152"/>
      <c r="AE834" s="164"/>
      <c r="AF834" s="148"/>
      <c r="AG834" s="148"/>
      <c r="AH834" s="183"/>
    </row>
    <row r="835" spans="2:34" ht="35.1" customHeight="1" thickTop="1" thickBot="1" x14ac:dyDescent="0.25">
      <c r="B835" s="142"/>
      <c r="C835" s="142"/>
      <c r="D835" s="142"/>
      <c r="E835" s="142"/>
      <c r="F835" s="142"/>
      <c r="G835" s="142"/>
      <c r="H835" s="142"/>
      <c r="I835" s="159"/>
      <c r="J835" s="18" t="s">
        <v>27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e">
        <f t="shared" si="139"/>
        <v>#DIV/0!</v>
      </c>
      <c r="AA835" s="148"/>
      <c r="AB835" s="148"/>
      <c r="AC835" s="152"/>
      <c r="AD835" s="152"/>
      <c r="AE835" s="164"/>
      <c r="AF835" s="148"/>
      <c r="AG835" s="148"/>
      <c r="AH835" s="183"/>
    </row>
    <row r="836" spans="2:34" ht="35.1" customHeight="1" thickTop="1" thickBot="1" x14ac:dyDescent="0.25">
      <c r="B836" s="142"/>
      <c r="C836" s="142"/>
      <c r="D836" s="142"/>
      <c r="E836" s="142"/>
      <c r="F836" s="142"/>
      <c r="G836" s="142"/>
      <c r="H836" s="142"/>
      <c r="I836" s="159"/>
      <c r="J836" s="18" t="s">
        <v>26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e">
        <f t="shared" ref="Z836:Z899" si="151">(L836)/K836</f>
        <v>#DIV/0!</v>
      </c>
      <c r="AA836" s="148"/>
      <c r="AB836" s="148"/>
      <c r="AC836" s="152"/>
      <c r="AD836" s="152"/>
      <c r="AE836" s="164"/>
      <c r="AF836" s="148"/>
      <c r="AG836" s="148"/>
      <c r="AH836" s="183"/>
    </row>
    <row r="837" spans="2:34" ht="35.1" customHeight="1" thickTop="1" thickBot="1" x14ac:dyDescent="0.25">
      <c r="B837" s="143"/>
      <c r="C837" s="143"/>
      <c r="D837" s="143"/>
      <c r="E837" s="143"/>
      <c r="F837" s="143"/>
      <c r="G837" s="143"/>
      <c r="H837" s="143"/>
      <c r="I837" s="160"/>
      <c r="J837" s="12" t="s">
        <v>25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e">
        <f t="shared" si="151"/>
        <v>#DIV/0!</v>
      </c>
      <c r="AA837" s="149"/>
      <c r="AB837" s="149"/>
      <c r="AC837" s="153"/>
      <c r="AD837" s="153"/>
      <c r="AE837" s="165"/>
      <c r="AF837" s="149"/>
      <c r="AG837" s="149"/>
      <c r="AH837" s="184"/>
    </row>
    <row r="838" spans="2:34" ht="35.1" customHeight="1" thickTop="1" thickBot="1" x14ac:dyDescent="0.25">
      <c r="B838" s="141"/>
      <c r="C838" s="141"/>
      <c r="D838" s="141"/>
      <c r="E838" s="141"/>
      <c r="F838" s="141"/>
      <c r="G838" s="141"/>
      <c r="H838" s="141"/>
      <c r="I838" s="158"/>
      <c r="J838" s="18" t="s">
        <v>30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e">
        <f t="shared" si="151"/>
        <v>#DIV/0!</v>
      </c>
      <c r="AA838" s="147" t="e">
        <f>AVERAGE(Z838,Z839,Z840,Z843)</f>
        <v>#DIV/0!</v>
      </c>
      <c r="AB838" s="150"/>
      <c r="AC838" s="151"/>
      <c r="AD838" s="151"/>
      <c r="AE838" s="163"/>
      <c r="AF838" s="150"/>
      <c r="AG838" s="150"/>
      <c r="AH838" s="182" t="e">
        <f t="shared" ref="AH838" si="152">(AC838)/AB838</f>
        <v>#DIV/0!</v>
      </c>
    </row>
    <row r="839" spans="2:34" ht="35.1" customHeight="1" thickTop="1" thickBot="1" x14ac:dyDescent="0.25">
      <c r="B839" s="142"/>
      <c r="C839" s="142"/>
      <c r="D839" s="142"/>
      <c r="E839" s="142"/>
      <c r="F839" s="142"/>
      <c r="G839" s="142"/>
      <c r="H839" s="142"/>
      <c r="I839" s="159"/>
      <c r="J839" s="18" t="s">
        <v>29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e">
        <f t="shared" si="151"/>
        <v>#DIV/0!</v>
      </c>
      <c r="AA839" s="148"/>
      <c r="AB839" s="148"/>
      <c r="AC839" s="152"/>
      <c r="AD839" s="152"/>
      <c r="AE839" s="164"/>
      <c r="AF839" s="148"/>
      <c r="AG839" s="148"/>
      <c r="AH839" s="183"/>
    </row>
    <row r="840" spans="2:34" ht="35.1" customHeight="1" thickTop="1" thickBot="1" x14ac:dyDescent="0.25">
      <c r="B840" s="142"/>
      <c r="C840" s="142"/>
      <c r="D840" s="142"/>
      <c r="E840" s="142"/>
      <c r="F840" s="142"/>
      <c r="G840" s="142"/>
      <c r="H840" s="142"/>
      <c r="I840" s="159"/>
      <c r="J840" s="18" t="s">
        <v>28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e">
        <f t="shared" si="151"/>
        <v>#DIV/0!</v>
      </c>
      <c r="AA840" s="148"/>
      <c r="AB840" s="148"/>
      <c r="AC840" s="152"/>
      <c r="AD840" s="152"/>
      <c r="AE840" s="164"/>
      <c r="AF840" s="148"/>
      <c r="AG840" s="148"/>
      <c r="AH840" s="183"/>
    </row>
    <row r="841" spans="2:34" ht="35.1" customHeight="1" thickTop="1" thickBot="1" x14ac:dyDescent="0.25">
      <c r="B841" s="142"/>
      <c r="C841" s="142"/>
      <c r="D841" s="142"/>
      <c r="E841" s="142"/>
      <c r="F841" s="142"/>
      <c r="G841" s="142"/>
      <c r="H841" s="142"/>
      <c r="I841" s="159"/>
      <c r="J841" s="18" t="s">
        <v>27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e">
        <f t="shared" si="151"/>
        <v>#DIV/0!</v>
      </c>
      <c r="AA841" s="148"/>
      <c r="AB841" s="148"/>
      <c r="AC841" s="152"/>
      <c r="AD841" s="152"/>
      <c r="AE841" s="164"/>
      <c r="AF841" s="148"/>
      <c r="AG841" s="148"/>
      <c r="AH841" s="183"/>
    </row>
    <row r="842" spans="2:34" ht="35.1" customHeight="1" thickTop="1" thickBot="1" x14ac:dyDescent="0.25">
      <c r="B842" s="142"/>
      <c r="C842" s="142"/>
      <c r="D842" s="142"/>
      <c r="E842" s="142"/>
      <c r="F842" s="142"/>
      <c r="G842" s="142"/>
      <c r="H842" s="142"/>
      <c r="I842" s="159"/>
      <c r="J842" s="18" t="s">
        <v>26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e">
        <f t="shared" si="151"/>
        <v>#DIV/0!</v>
      </c>
      <c r="AA842" s="148"/>
      <c r="AB842" s="148"/>
      <c r="AC842" s="152"/>
      <c r="AD842" s="152"/>
      <c r="AE842" s="164"/>
      <c r="AF842" s="148"/>
      <c r="AG842" s="148"/>
      <c r="AH842" s="183"/>
    </row>
    <row r="843" spans="2:34" ht="35.1" customHeight="1" thickTop="1" thickBot="1" x14ac:dyDescent="0.25">
      <c r="B843" s="143"/>
      <c r="C843" s="143"/>
      <c r="D843" s="143"/>
      <c r="E843" s="143"/>
      <c r="F843" s="143"/>
      <c r="G843" s="143"/>
      <c r="H843" s="143"/>
      <c r="I843" s="160"/>
      <c r="J843" s="12" t="s">
        <v>25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e">
        <f t="shared" si="151"/>
        <v>#DIV/0!</v>
      </c>
      <c r="AA843" s="149"/>
      <c r="AB843" s="149"/>
      <c r="AC843" s="153"/>
      <c r="AD843" s="153"/>
      <c r="AE843" s="165"/>
      <c r="AF843" s="149"/>
      <c r="AG843" s="149"/>
      <c r="AH843" s="184"/>
    </row>
    <row r="844" spans="2:34" ht="35.1" customHeight="1" thickTop="1" thickBot="1" x14ac:dyDescent="0.25">
      <c r="B844" s="141"/>
      <c r="C844" s="141"/>
      <c r="D844" s="141"/>
      <c r="E844" s="141"/>
      <c r="F844" s="141"/>
      <c r="G844" s="141"/>
      <c r="H844" s="141"/>
      <c r="I844" s="158"/>
      <c r="J844" s="18" t="s">
        <v>30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e">
        <f t="shared" si="151"/>
        <v>#DIV/0!</v>
      </c>
      <c r="AA844" s="147" t="e">
        <f>AVERAGE(Z844,Z845,Z846,Z849)</f>
        <v>#DIV/0!</v>
      </c>
      <c r="AB844" s="150"/>
      <c r="AC844" s="151"/>
      <c r="AD844" s="151"/>
      <c r="AE844" s="163"/>
      <c r="AF844" s="150"/>
      <c r="AG844" s="150"/>
      <c r="AH844" s="182" t="e">
        <f t="shared" ref="AH844" si="153">(AC844)/AB844</f>
        <v>#DIV/0!</v>
      </c>
    </row>
    <row r="845" spans="2:34" ht="35.1" customHeight="1" thickTop="1" thickBot="1" x14ac:dyDescent="0.25">
      <c r="B845" s="142"/>
      <c r="C845" s="142"/>
      <c r="D845" s="142"/>
      <c r="E845" s="142"/>
      <c r="F845" s="142"/>
      <c r="G845" s="142"/>
      <c r="H845" s="142"/>
      <c r="I845" s="159"/>
      <c r="J845" s="18" t="s">
        <v>29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e">
        <f t="shared" si="151"/>
        <v>#DIV/0!</v>
      </c>
      <c r="AA845" s="148"/>
      <c r="AB845" s="148"/>
      <c r="AC845" s="152"/>
      <c r="AD845" s="152"/>
      <c r="AE845" s="164"/>
      <c r="AF845" s="148"/>
      <c r="AG845" s="148"/>
      <c r="AH845" s="183"/>
    </row>
    <row r="846" spans="2:34" ht="35.1" customHeight="1" thickTop="1" thickBot="1" x14ac:dyDescent="0.25">
      <c r="B846" s="142"/>
      <c r="C846" s="142"/>
      <c r="D846" s="142"/>
      <c r="E846" s="142"/>
      <c r="F846" s="142"/>
      <c r="G846" s="142"/>
      <c r="H846" s="142"/>
      <c r="I846" s="159"/>
      <c r="J846" s="18" t="s">
        <v>28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e">
        <f t="shared" si="151"/>
        <v>#DIV/0!</v>
      </c>
      <c r="AA846" s="148"/>
      <c r="AB846" s="148"/>
      <c r="AC846" s="152"/>
      <c r="AD846" s="152"/>
      <c r="AE846" s="164"/>
      <c r="AF846" s="148"/>
      <c r="AG846" s="148"/>
      <c r="AH846" s="183"/>
    </row>
    <row r="847" spans="2:34" ht="35.1" customHeight="1" thickTop="1" thickBot="1" x14ac:dyDescent="0.25">
      <c r="B847" s="142"/>
      <c r="C847" s="142"/>
      <c r="D847" s="142"/>
      <c r="E847" s="142"/>
      <c r="F847" s="142"/>
      <c r="G847" s="142"/>
      <c r="H847" s="142"/>
      <c r="I847" s="159"/>
      <c r="J847" s="18" t="s">
        <v>27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e">
        <f t="shared" si="151"/>
        <v>#DIV/0!</v>
      </c>
      <c r="AA847" s="148"/>
      <c r="AB847" s="148"/>
      <c r="AC847" s="152"/>
      <c r="AD847" s="152"/>
      <c r="AE847" s="164"/>
      <c r="AF847" s="148"/>
      <c r="AG847" s="148"/>
      <c r="AH847" s="183"/>
    </row>
    <row r="848" spans="2:34" ht="35.1" customHeight="1" thickTop="1" thickBot="1" x14ac:dyDescent="0.25">
      <c r="B848" s="142"/>
      <c r="C848" s="142"/>
      <c r="D848" s="142"/>
      <c r="E848" s="142"/>
      <c r="F848" s="142"/>
      <c r="G848" s="142"/>
      <c r="H848" s="142"/>
      <c r="I848" s="159"/>
      <c r="J848" s="18" t="s">
        <v>26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e">
        <f t="shared" si="151"/>
        <v>#DIV/0!</v>
      </c>
      <c r="AA848" s="148"/>
      <c r="AB848" s="148"/>
      <c r="AC848" s="152"/>
      <c r="AD848" s="152"/>
      <c r="AE848" s="164"/>
      <c r="AF848" s="148"/>
      <c r="AG848" s="148"/>
      <c r="AH848" s="183"/>
    </row>
    <row r="849" spans="2:34" ht="35.1" customHeight="1" thickTop="1" thickBot="1" x14ac:dyDescent="0.25">
      <c r="B849" s="143"/>
      <c r="C849" s="143"/>
      <c r="D849" s="143"/>
      <c r="E849" s="143"/>
      <c r="F849" s="143"/>
      <c r="G849" s="143"/>
      <c r="H849" s="143"/>
      <c r="I849" s="160"/>
      <c r="J849" s="12" t="s">
        <v>25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e">
        <f t="shared" si="151"/>
        <v>#DIV/0!</v>
      </c>
      <c r="AA849" s="149"/>
      <c r="AB849" s="149"/>
      <c r="AC849" s="153"/>
      <c r="AD849" s="153"/>
      <c r="AE849" s="165"/>
      <c r="AF849" s="149"/>
      <c r="AG849" s="149"/>
      <c r="AH849" s="184"/>
    </row>
    <row r="850" spans="2:34" ht="35.1" customHeight="1" thickTop="1" thickBot="1" x14ac:dyDescent="0.25">
      <c r="B850" s="141"/>
      <c r="C850" s="141"/>
      <c r="D850" s="141"/>
      <c r="E850" s="141"/>
      <c r="F850" s="141"/>
      <c r="G850" s="141"/>
      <c r="H850" s="141"/>
      <c r="I850" s="158"/>
      <c r="J850" s="18" t="s">
        <v>30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e">
        <f t="shared" si="151"/>
        <v>#DIV/0!</v>
      </c>
      <c r="AA850" s="147" t="e">
        <f>AVERAGE(Z850,Z851,Z852,Z855)</f>
        <v>#DIV/0!</v>
      </c>
      <c r="AB850" s="150"/>
      <c r="AC850" s="151"/>
      <c r="AD850" s="151"/>
      <c r="AE850" s="163"/>
      <c r="AF850" s="150"/>
      <c r="AG850" s="150"/>
      <c r="AH850" s="182" t="e">
        <f t="shared" ref="AH850" si="154">(AC850)/AB850</f>
        <v>#DIV/0!</v>
      </c>
    </row>
    <row r="851" spans="2:34" ht="35.1" customHeight="1" thickTop="1" thickBot="1" x14ac:dyDescent="0.25">
      <c r="B851" s="142"/>
      <c r="C851" s="142"/>
      <c r="D851" s="142"/>
      <c r="E851" s="142"/>
      <c r="F851" s="142"/>
      <c r="G851" s="142"/>
      <c r="H851" s="142"/>
      <c r="I851" s="159"/>
      <c r="J851" s="18" t="s">
        <v>29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e">
        <f t="shared" si="151"/>
        <v>#DIV/0!</v>
      </c>
      <c r="AA851" s="148"/>
      <c r="AB851" s="148"/>
      <c r="AC851" s="152"/>
      <c r="AD851" s="152"/>
      <c r="AE851" s="164"/>
      <c r="AF851" s="148"/>
      <c r="AG851" s="148"/>
      <c r="AH851" s="183"/>
    </row>
    <row r="852" spans="2:34" ht="35.1" customHeight="1" thickTop="1" thickBot="1" x14ac:dyDescent="0.25">
      <c r="B852" s="142"/>
      <c r="C852" s="142"/>
      <c r="D852" s="142"/>
      <c r="E852" s="142"/>
      <c r="F852" s="142"/>
      <c r="G852" s="142"/>
      <c r="H852" s="142"/>
      <c r="I852" s="159"/>
      <c r="J852" s="18" t="s">
        <v>28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e">
        <f t="shared" si="151"/>
        <v>#DIV/0!</v>
      </c>
      <c r="AA852" s="148"/>
      <c r="AB852" s="148"/>
      <c r="AC852" s="152"/>
      <c r="AD852" s="152"/>
      <c r="AE852" s="164"/>
      <c r="AF852" s="148"/>
      <c r="AG852" s="148"/>
      <c r="AH852" s="183"/>
    </row>
    <row r="853" spans="2:34" ht="35.1" customHeight="1" thickTop="1" thickBot="1" x14ac:dyDescent="0.25">
      <c r="B853" s="142"/>
      <c r="C853" s="142"/>
      <c r="D853" s="142"/>
      <c r="E853" s="142"/>
      <c r="F853" s="142"/>
      <c r="G853" s="142"/>
      <c r="H853" s="142"/>
      <c r="I853" s="159"/>
      <c r="J853" s="18" t="s">
        <v>27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e">
        <f t="shared" si="151"/>
        <v>#DIV/0!</v>
      </c>
      <c r="AA853" s="148"/>
      <c r="AB853" s="148"/>
      <c r="AC853" s="152"/>
      <c r="AD853" s="152"/>
      <c r="AE853" s="164"/>
      <c r="AF853" s="148"/>
      <c r="AG853" s="148"/>
      <c r="AH853" s="183"/>
    </row>
    <row r="854" spans="2:34" ht="35.1" customHeight="1" thickTop="1" thickBot="1" x14ac:dyDescent="0.25">
      <c r="B854" s="142"/>
      <c r="C854" s="142"/>
      <c r="D854" s="142"/>
      <c r="E854" s="142"/>
      <c r="F854" s="142"/>
      <c r="G854" s="142"/>
      <c r="H854" s="142"/>
      <c r="I854" s="159"/>
      <c r="J854" s="18" t="s">
        <v>26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e">
        <f t="shared" si="151"/>
        <v>#DIV/0!</v>
      </c>
      <c r="AA854" s="148"/>
      <c r="AB854" s="148"/>
      <c r="AC854" s="152"/>
      <c r="AD854" s="152"/>
      <c r="AE854" s="164"/>
      <c r="AF854" s="148"/>
      <c r="AG854" s="148"/>
      <c r="AH854" s="183"/>
    </row>
    <row r="855" spans="2:34" ht="35.1" customHeight="1" thickTop="1" thickBot="1" x14ac:dyDescent="0.25">
      <c r="B855" s="143"/>
      <c r="C855" s="143"/>
      <c r="D855" s="143"/>
      <c r="E855" s="143"/>
      <c r="F855" s="143"/>
      <c r="G855" s="143"/>
      <c r="H855" s="143"/>
      <c r="I855" s="160"/>
      <c r="J855" s="12" t="s">
        <v>25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e">
        <f t="shared" si="151"/>
        <v>#DIV/0!</v>
      </c>
      <c r="AA855" s="149"/>
      <c r="AB855" s="149"/>
      <c r="AC855" s="153"/>
      <c r="AD855" s="153"/>
      <c r="AE855" s="165"/>
      <c r="AF855" s="149"/>
      <c r="AG855" s="149"/>
      <c r="AH855" s="184"/>
    </row>
    <row r="856" spans="2:34" ht="35.1" customHeight="1" thickTop="1" thickBot="1" x14ac:dyDescent="0.25">
      <c r="B856" s="141"/>
      <c r="C856" s="141"/>
      <c r="D856" s="141"/>
      <c r="E856" s="141"/>
      <c r="F856" s="141"/>
      <c r="G856" s="141"/>
      <c r="H856" s="141"/>
      <c r="I856" s="158"/>
      <c r="J856" s="18" t="s">
        <v>30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e">
        <f t="shared" si="151"/>
        <v>#DIV/0!</v>
      </c>
      <c r="AA856" s="147" t="e">
        <f>AVERAGE(Z856,Z857,Z858,Z861)</f>
        <v>#DIV/0!</v>
      </c>
      <c r="AB856" s="150"/>
      <c r="AC856" s="151"/>
      <c r="AD856" s="151"/>
      <c r="AE856" s="163"/>
      <c r="AF856" s="150"/>
      <c r="AG856" s="150"/>
      <c r="AH856" s="182" t="e">
        <f t="shared" ref="AH856" si="155">(AC856)/AB856</f>
        <v>#DIV/0!</v>
      </c>
    </row>
    <row r="857" spans="2:34" ht="35.1" customHeight="1" thickTop="1" thickBot="1" x14ac:dyDescent="0.25">
      <c r="B857" s="142"/>
      <c r="C857" s="142"/>
      <c r="D857" s="142"/>
      <c r="E857" s="142"/>
      <c r="F857" s="142"/>
      <c r="G857" s="142"/>
      <c r="H857" s="142"/>
      <c r="I857" s="159"/>
      <c r="J857" s="18" t="s">
        <v>29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e">
        <f t="shared" si="151"/>
        <v>#DIV/0!</v>
      </c>
      <c r="AA857" s="148"/>
      <c r="AB857" s="148"/>
      <c r="AC857" s="152"/>
      <c r="AD857" s="152"/>
      <c r="AE857" s="164"/>
      <c r="AF857" s="148"/>
      <c r="AG857" s="148"/>
      <c r="AH857" s="183"/>
    </row>
    <row r="858" spans="2:34" ht="35.1" customHeight="1" thickTop="1" thickBot="1" x14ac:dyDescent="0.25">
      <c r="B858" s="142"/>
      <c r="C858" s="142"/>
      <c r="D858" s="142"/>
      <c r="E858" s="142"/>
      <c r="F858" s="142"/>
      <c r="G858" s="142"/>
      <c r="H858" s="142"/>
      <c r="I858" s="159"/>
      <c r="J858" s="18" t="s">
        <v>28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e">
        <f t="shared" si="151"/>
        <v>#DIV/0!</v>
      </c>
      <c r="AA858" s="148"/>
      <c r="AB858" s="148"/>
      <c r="AC858" s="152"/>
      <c r="AD858" s="152"/>
      <c r="AE858" s="164"/>
      <c r="AF858" s="148"/>
      <c r="AG858" s="148"/>
      <c r="AH858" s="183"/>
    </row>
    <row r="859" spans="2:34" ht="35.1" customHeight="1" thickTop="1" thickBot="1" x14ac:dyDescent="0.25">
      <c r="B859" s="142"/>
      <c r="C859" s="142"/>
      <c r="D859" s="142"/>
      <c r="E859" s="142"/>
      <c r="F859" s="142"/>
      <c r="G859" s="142"/>
      <c r="H859" s="142"/>
      <c r="I859" s="159"/>
      <c r="J859" s="18" t="s">
        <v>27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e">
        <f t="shared" si="151"/>
        <v>#DIV/0!</v>
      </c>
      <c r="AA859" s="148"/>
      <c r="AB859" s="148"/>
      <c r="AC859" s="152"/>
      <c r="AD859" s="152"/>
      <c r="AE859" s="164"/>
      <c r="AF859" s="148"/>
      <c r="AG859" s="148"/>
      <c r="AH859" s="183"/>
    </row>
    <row r="860" spans="2:34" ht="35.1" customHeight="1" thickTop="1" thickBot="1" x14ac:dyDescent="0.25">
      <c r="B860" s="142"/>
      <c r="C860" s="142"/>
      <c r="D860" s="142"/>
      <c r="E860" s="142"/>
      <c r="F860" s="142"/>
      <c r="G860" s="142"/>
      <c r="H860" s="142"/>
      <c r="I860" s="159"/>
      <c r="J860" s="18" t="s">
        <v>26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e">
        <f t="shared" si="151"/>
        <v>#DIV/0!</v>
      </c>
      <c r="AA860" s="148"/>
      <c r="AB860" s="148"/>
      <c r="AC860" s="152"/>
      <c r="AD860" s="152"/>
      <c r="AE860" s="164"/>
      <c r="AF860" s="148"/>
      <c r="AG860" s="148"/>
      <c r="AH860" s="183"/>
    </row>
    <row r="861" spans="2:34" ht="35.1" customHeight="1" thickTop="1" thickBot="1" x14ac:dyDescent="0.25">
      <c r="B861" s="143"/>
      <c r="C861" s="143"/>
      <c r="D861" s="143"/>
      <c r="E861" s="143"/>
      <c r="F861" s="143"/>
      <c r="G861" s="143"/>
      <c r="H861" s="143"/>
      <c r="I861" s="160"/>
      <c r="J861" s="12" t="s">
        <v>25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e">
        <f t="shared" si="151"/>
        <v>#DIV/0!</v>
      </c>
      <c r="AA861" s="149"/>
      <c r="AB861" s="149"/>
      <c r="AC861" s="153"/>
      <c r="AD861" s="153"/>
      <c r="AE861" s="165"/>
      <c r="AF861" s="149"/>
      <c r="AG861" s="149"/>
      <c r="AH861" s="184"/>
    </row>
    <row r="862" spans="2:34" ht="35.1" customHeight="1" thickTop="1" thickBot="1" x14ac:dyDescent="0.25">
      <c r="B862" s="141"/>
      <c r="C862" s="141"/>
      <c r="D862" s="141"/>
      <c r="E862" s="141"/>
      <c r="F862" s="141"/>
      <c r="G862" s="141"/>
      <c r="H862" s="141"/>
      <c r="I862" s="158"/>
      <c r="J862" s="18" t="s">
        <v>30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e">
        <f t="shared" si="151"/>
        <v>#DIV/0!</v>
      </c>
      <c r="AA862" s="147" t="e">
        <f>AVERAGE(Z862,Z863,Z864,Z867)</f>
        <v>#DIV/0!</v>
      </c>
      <c r="AB862" s="150"/>
      <c r="AC862" s="151"/>
      <c r="AD862" s="151"/>
      <c r="AE862" s="163"/>
      <c r="AF862" s="150"/>
      <c r="AG862" s="150"/>
      <c r="AH862" s="182" t="e">
        <f t="shared" ref="AH862" si="156">(AC862)/AB862</f>
        <v>#DIV/0!</v>
      </c>
    </row>
    <row r="863" spans="2:34" ht="35.1" customHeight="1" thickTop="1" thickBot="1" x14ac:dyDescent="0.25">
      <c r="B863" s="142"/>
      <c r="C863" s="142"/>
      <c r="D863" s="142"/>
      <c r="E863" s="142"/>
      <c r="F863" s="142"/>
      <c r="G863" s="142"/>
      <c r="H863" s="142"/>
      <c r="I863" s="159"/>
      <c r="J863" s="18" t="s">
        <v>29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e">
        <f t="shared" si="151"/>
        <v>#DIV/0!</v>
      </c>
      <c r="AA863" s="148"/>
      <c r="AB863" s="148"/>
      <c r="AC863" s="152"/>
      <c r="AD863" s="152"/>
      <c r="AE863" s="164"/>
      <c r="AF863" s="148"/>
      <c r="AG863" s="148"/>
      <c r="AH863" s="183"/>
    </row>
    <row r="864" spans="2:34" ht="35.1" customHeight="1" thickTop="1" thickBot="1" x14ac:dyDescent="0.25">
      <c r="B864" s="142"/>
      <c r="C864" s="142"/>
      <c r="D864" s="142"/>
      <c r="E864" s="142"/>
      <c r="F864" s="142"/>
      <c r="G864" s="142"/>
      <c r="H864" s="142"/>
      <c r="I864" s="159"/>
      <c r="J864" s="18" t="s">
        <v>28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e">
        <f t="shared" si="151"/>
        <v>#DIV/0!</v>
      </c>
      <c r="AA864" s="148"/>
      <c r="AB864" s="148"/>
      <c r="AC864" s="152"/>
      <c r="AD864" s="152"/>
      <c r="AE864" s="164"/>
      <c r="AF864" s="148"/>
      <c r="AG864" s="148"/>
      <c r="AH864" s="183"/>
    </row>
    <row r="865" spans="2:34" ht="35.1" customHeight="1" thickTop="1" thickBot="1" x14ac:dyDescent="0.25">
      <c r="B865" s="142"/>
      <c r="C865" s="142"/>
      <c r="D865" s="142"/>
      <c r="E865" s="142"/>
      <c r="F865" s="142"/>
      <c r="G865" s="142"/>
      <c r="H865" s="142"/>
      <c r="I865" s="159"/>
      <c r="J865" s="18" t="s">
        <v>27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e">
        <f t="shared" si="151"/>
        <v>#DIV/0!</v>
      </c>
      <c r="AA865" s="148"/>
      <c r="AB865" s="148"/>
      <c r="AC865" s="152"/>
      <c r="AD865" s="152"/>
      <c r="AE865" s="164"/>
      <c r="AF865" s="148"/>
      <c r="AG865" s="148"/>
      <c r="AH865" s="183"/>
    </row>
    <row r="866" spans="2:34" ht="35.1" customHeight="1" thickTop="1" thickBot="1" x14ac:dyDescent="0.25">
      <c r="B866" s="142"/>
      <c r="C866" s="142"/>
      <c r="D866" s="142"/>
      <c r="E866" s="142"/>
      <c r="F866" s="142"/>
      <c r="G866" s="142"/>
      <c r="H866" s="142"/>
      <c r="I866" s="159"/>
      <c r="J866" s="18" t="s">
        <v>26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e">
        <f t="shared" si="151"/>
        <v>#DIV/0!</v>
      </c>
      <c r="AA866" s="148"/>
      <c r="AB866" s="148"/>
      <c r="AC866" s="152"/>
      <c r="AD866" s="152"/>
      <c r="AE866" s="164"/>
      <c r="AF866" s="148"/>
      <c r="AG866" s="148"/>
      <c r="AH866" s="183"/>
    </row>
    <row r="867" spans="2:34" ht="35.1" customHeight="1" thickTop="1" thickBot="1" x14ac:dyDescent="0.25">
      <c r="B867" s="143"/>
      <c r="C867" s="143"/>
      <c r="D867" s="143"/>
      <c r="E867" s="143"/>
      <c r="F867" s="143"/>
      <c r="G867" s="143"/>
      <c r="H867" s="143"/>
      <c r="I867" s="160"/>
      <c r="J867" s="12" t="s">
        <v>25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e">
        <f t="shared" si="151"/>
        <v>#DIV/0!</v>
      </c>
      <c r="AA867" s="149"/>
      <c r="AB867" s="149"/>
      <c r="AC867" s="153"/>
      <c r="AD867" s="153"/>
      <c r="AE867" s="165"/>
      <c r="AF867" s="149"/>
      <c r="AG867" s="149"/>
      <c r="AH867" s="184"/>
    </row>
    <row r="868" spans="2:34" ht="35.1" customHeight="1" thickTop="1" thickBot="1" x14ac:dyDescent="0.25">
      <c r="B868" s="141"/>
      <c r="C868" s="141"/>
      <c r="D868" s="141"/>
      <c r="E868" s="141"/>
      <c r="F868" s="141"/>
      <c r="G868" s="141"/>
      <c r="H868" s="141"/>
      <c r="I868" s="158"/>
      <c r="J868" s="18" t="s">
        <v>30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e">
        <f t="shared" si="151"/>
        <v>#DIV/0!</v>
      </c>
      <c r="AA868" s="147" t="e">
        <f>AVERAGE(Z868,Z869,Z870,Z873)</f>
        <v>#DIV/0!</v>
      </c>
      <c r="AB868" s="150"/>
      <c r="AC868" s="151"/>
      <c r="AD868" s="151"/>
      <c r="AE868" s="163"/>
      <c r="AF868" s="150"/>
      <c r="AG868" s="150"/>
      <c r="AH868" s="182" t="e">
        <f t="shared" ref="AH868" si="157">(AC868)/AB868</f>
        <v>#DIV/0!</v>
      </c>
    </row>
    <row r="869" spans="2:34" ht="35.1" customHeight="1" thickTop="1" thickBot="1" x14ac:dyDescent="0.25">
      <c r="B869" s="142"/>
      <c r="C869" s="142"/>
      <c r="D869" s="142"/>
      <c r="E869" s="142"/>
      <c r="F869" s="142"/>
      <c r="G869" s="142"/>
      <c r="H869" s="142"/>
      <c r="I869" s="159"/>
      <c r="J869" s="18" t="s">
        <v>29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e">
        <f t="shared" si="151"/>
        <v>#DIV/0!</v>
      </c>
      <c r="AA869" s="148"/>
      <c r="AB869" s="148"/>
      <c r="AC869" s="152"/>
      <c r="AD869" s="152"/>
      <c r="AE869" s="164"/>
      <c r="AF869" s="148"/>
      <c r="AG869" s="148"/>
      <c r="AH869" s="183"/>
    </row>
    <row r="870" spans="2:34" ht="35.1" customHeight="1" thickTop="1" thickBot="1" x14ac:dyDescent="0.25">
      <c r="B870" s="142"/>
      <c r="C870" s="142"/>
      <c r="D870" s="142"/>
      <c r="E870" s="142"/>
      <c r="F870" s="142"/>
      <c r="G870" s="142"/>
      <c r="H870" s="142"/>
      <c r="I870" s="159"/>
      <c r="J870" s="18" t="s">
        <v>28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e">
        <f t="shared" si="151"/>
        <v>#DIV/0!</v>
      </c>
      <c r="AA870" s="148"/>
      <c r="AB870" s="148"/>
      <c r="AC870" s="152"/>
      <c r="AD870" s="152"/>
      <c r="AE870" s="164"/>
      <c r="AF870" s="148"/>
      <c r="AG870" s="148"/>
      <c r="AH870" s="183"/>
    </row>
    <row r="871" spans="2:34" ht="35.1" customHeight="1" thickTop="1" thickBot="1" x14ac:dyDescent="0.25">
      <c r="B871" s="142"/>
      <c r="C871" s="142"/>
      <c r="D871" s="142"/>
      <c r="E871" s="142"/>
      <c r="F871" s="142"/>
      <c r="G871" s="142"/>
      <c r="H871" s="142"/>
      <c r="I871" s="159"/>
      <c r="J871" s="18" t="s">
        <v>27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e">
        <f t="shared" si="151"/>
        <v>#DIV/0!</v>
      </c>
      <c r="AA871" s="148"/>
      <c r="AB871" s="148"/>
      <c r="AC871" s="152"/>
      <c r="AD871" s="152"/>
      <c r="AE871" s="164"/>
      <c r="AF871" s="148"/>
      <c r="AG871" s="148"/>
      <c r="AH871" s="183"/>
    </row>
    <row r="872" spans="2:34" ht="35.1" customHeight="1" thickTop="1" thickBot="1" x14ac:dyDescent="0.25">
      <c r="B872" s="142"/>
      <c r="C872" s="142"/>
      <c r="D872" s="142"/>
      <c r="E872" s="142"/>
      <c r="F872" s="142"/>
      <c r="G872" s="142"/>
      <c r="H872" s="142"/>
      <c r="I872" s="159"/>
      <c r="J872" s="18" t="s">
        <v>26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e">
        <f t="shared" si="151"/>
        <v>#DIV/0!</v>
      </c>
      <c r="AA872" s="148"/>
      <c r="AB872" s="148"/>
      <c r="AC872" s="152"/>
      <c r="AD872" s="152"/>
      <c r="AE872" s="164"/>
      <c r="AF872" s="148"/>
      <c r="AG872" s="148"/>
      <c r="AH872" s="183"/>
    </row>
    <row r="873" spans="2:34" ht="35.1" customHeight="1" thickTop="1" thickBot="1" x14ac:dyDescent="0.25">
      <c r="B873" s="143"/>
      <c r="C873" s="143"/>
      <c r="D873" s="143"/>
      <c r="E873" s="143"/>
      <c r="F873" s="143"/>
      <c r="G873" s="143"/>
      <c r="H873" s="143"/>
      <c r="I873" s="160"/>
      <c r="J873" s="12" t="s">
        <v>25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e">
        <f t="shared" si="151"/>
        <v>#DIV/0!</v>
      </c>
      <c r="AA873" s="149"/>
      <c r="AB873" s="149"/>
      <c r="AC873" s="153"/>
      <c r="AD873" s="153"/>
      <c r="AE873" s="165"/>
      <c r="AF873" s="149"/>
      <c r="AG873" s="149"/>
      <c r="AH873" s="184"/>
    </row>
    <row r="874" spans="2:34" ht="35.1" customHeight="1" thickTop="1" thickBot="1" x14ac:dyDescent="0.25">
      <c r="B874" s="141"/>
      <c r="C874" s="141"/>
      <c r="D874" s="141"/>
      <c r="E874" s="141"/>
      <c r="F874" s="141"/>
      <c r="G874" s="141"/>
      <c r="H874" s="141"/>
      <c r="I874" s="158"/>
      <c r="J874" s="18" t="s">
        <v>30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e">
        <f t="shared" si="151"/>
        <v>#DIV/0!</v>
      </c>
      <c r="AA874" s="147" t="e">
        <f>AVERAGE(Z874,Z875,Z876,Z879)</f>
        <v>#DIV/0!</v>
      </c>
      <c r="AB874" s="150"/>
      <c r="AC874" s="151"/>
      <c r="AD874" s="151"/>
      <c r="AE874" s="163"/>
      <c r="AF874" s="150"/>
      <c r="AG874" s="150"/>
      <c r="AH874" s="182" t="e">
        <f t="shared" ref="AH874" si="158">(AC874)/AB874</f>
        <v>#DIV/0!</v>
      </c>
    </row>
    <row r="875" spans="2:34" ht="35.1" customHeight="1" thickTop="1" thickBot="1" x14ac:dyDescent="0.25">
      <c r="B875" s="142"/>
      <c r="C875" s="142"/>
      <c r="D875" s="142"/>
      <c r="E875" s="142"/>
      <c r="F875" s="142"/>
      <c r="G875" s="142"/>
      <c r="H875" s="142"/>
      <c r="I875" s="159"/>
      <c r="J875" s="18" t="s">
        <v>29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e">
        <f t="shared" si="151"/>
        <v>#DIV/0!</v>
      </c>
      <c r="AA875" s="148"/>
      <c r="AB875" s="148"/>
      <c r="AC875" s="152"/>
      <c r="AD875" s="152"/>
      <c r="AE875" s="164"/>
      <c r="AF875" s="148"/>
      <c r="AG875" s="148"/>
      <c r="AH875" s="183"/>
    </row>
    <row r="876" spans="2:34" ht="35.1" customHeight="1" thickTop="1" thickBot="1" x14ac:dyDescent="0.25">
      <c r="B876" s="142"/>
      <c r="C876" s="142"/>
      <c r="D876" s="142"/>
      <c r="E876" s="142"/>
      <c r="F876" s="142"/>
      <c r="G876" s="142"/>
      <c r="H876" s="142"/>
      <c r="I876" s="159"/>
      <c r="J876" s="18" t="s">
        <v>28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e">
        <f t="shared" si="151"/>
        <v>#DIV/0!</v>
      </c>
      <c r="AA876" s="148"/>
      <c r="AB876" s="148"/>
      <c r="AC876" s="152"/>
      <c r="AD876" s="152"/>
      <c r="AE876" s="164"/>
      <c r="AF876" s="148"/>
      <c r="AG876" s="148"/>
      <c r="AH876" s="183"/>
    </row>
    <row r="877" spans="2:34" ht="35.1" customHeight="1" thickTop="1" thickBot="1" x14ac:dyDescent="0.25">
      <c r="B877" s="142"/>
      <c r="C877" s="142"/>
      <c r="D877" s="142"/>
      <c r="E877" s="142"/>
      <c r="F877" s="142"/>
      <c r="G877" s="142"/>
      <c r="H877" s="142"/>
      <c r="I877" s="159"/>
      <c r="J877" s="18" t="s">
        <v>27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e">
        <f t="shared" si="151"/>
        <v>#DIV/0!</v>
      </c>
      <c r="AA877" s="148"/>
      <c r="AB877" s="148"/>
      <c r="AC877" s="152"/>
      <c r="AD877" s="152"/>
      <c r="AE877" s="164"/>
      <c r="AF877" s="148"/>
      <c r="AG877" s="148"/>
      <c r="AH877" s="183"/>
    </row>
    <row r="878" spans="2:34" ht="35.1" customHeight="1" thickTop="1" thickBot="1" x14ac:dyDescent="0.25">
      <c r="B878" s="142"/>
      <c r="C878" s="142"/>
      <c r="D878" s="142"/>
      <c r="E878" s="142"/>
      <c r="F878" s="142"/>
      <c r="G878" s="142"/>
      <c r="H878" s="142"/>
      <c r="I878" s="159"/>
      <c r="J878" s="18" t="s">
        <v>26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e">
        <f t="shared" si="151"/>
        <v>#DIV/0!</v>
      </c>
      <c r="AA878" s="148"/>
      <c r="AB878" s="148"/>
      <c r="AC878" s="152"/>
      <c r="AD878" s="152"/>
      <c r="AE878" s="164"/>
      <c r="AF878" s="148"/>
      <c r="AG878" s="148"/>
      <c r="AH878" s="183"/>
    </row>
    <row r="879" spans="2:34" ht="35.1" customHeight="1" thickTop="1" thickBot="1" x14ac:dyDescent="0.25">
      <c r="B879" s="143"/>
      <c r="C879" s="143"/>
      <c r="D879" s="143"/>
      <c r="E879" s="143"/>
      <c r="F879" s="143"/>
      <c r="G879" s="143"/>
      <c r="H879" s="143"/>
      <c r="I879" s="160"/>
      <c r="J879" s="12" t="s">
        <v>25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e">
        <f t="shared" si="151"/>
        <v>#DIV/0!</v>
      </c>
      <c r="AA879" s="149"/>
      <c r="AB879" s="149"/>
      <c r="AC879" s="153"/>
      <c r="AD879" s="153"/>
      <c r="AE879" s="165"/>
      <c r="AF879" s="149"/>
      <c r="AG879" s="149"/>
      <c r="AH879" s="184"/>
    </row>
    <row r="880" spans="2:34" ht="35.1" customHeight="1" thickTop="1" thickBot="1" x14ac:dyDescent="0.25">
      <c r="B880" s="141"/>
      <c r="C880" s="141"/>
      <c r="D880" s="141"/>
      <c r="E880" s="141"/>
      <c r="F880" s="141"/>
      <c r="G880" s="141"/>
      <c r="H880" s="141"/>
      <c r="I880" s="158"/>
      <c r="J880" s="18" t="s">
        <v>30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e">
        <f t="shared" si="151"/>
        <v>#DIV/0!</v>
      </c>
      <c r="AA880" s="147" t="e">
        <f>AVERAGE(Z880,Z881,Z882,Z885)</f>
        <v>#DIV/0!</v>
      </c>
      <c r="AB880" s="150"/>
      <c r="AC880" s="151"/>
      <c r="AD880" s="151"/>
      <c r="AE880" s="163"/>
      <c r="AF880" s="150"/>
      <c r="AG880" s="150"/>
      <c r="AH880" s="182" t="e">
        <f t="shared" ref="AH880" si="159">(AC880)/AB880</f>
        <v>#DIV/0!</v>
      </c>
    </row>
    <row r="881" spans="2:34" ht="35.1" customHeight="1" thickTop="1" thickBot="1" x14ac:dyDescent="0.25">
      <c r="B881" s="142"/>
      <c r="C881" s="142"/>
      <c r="D881" s="142"/>
      <c r="E881" s="142"/>
      <c r="F881" s="142"/>
      <c r="G881" s="142"/>
      <c r="H881" s="142"/>
      <c r="I881" s="159"/>
      <c r="J881" s="18" t="s">
        <v>29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e">
        <f t="shared" si="151"/>
        <v>#DIV/0!</v>
      </c>
      <c r="AA881" s="148"/>
      <c r="AB881" s="148"/>
      <c r="AC881" s="152"/>
      <c r="AD881" s="152"/>
      <c r="AE881" s="164"/>
      <c r="AF881" s="148"/>
      <c r="AG881" s="148"/>
      <c r="AH881" s="183"/>
    </row>
    <row r="882" spans="2:34" ht="35.1" customHeight="1" thickTop="1" thickBot="1" x14ac:dyDescent="0.25">
      <c r="B882" s="142"/>
      <c r="C882" s="142"/>
      <c r="D882" s="142"/>
      <c r="E882" s="142"/>
      <c r="F882" s="142"/>
      <c r="G882" s="142"/>
      <c r="H882" s="142"/>
      <c r="I882" s="159"/>
      <c r="J882" s="18" t="s">
        <v>28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e">
        <f t="shared" si="151"/>
        <v>#DIV/0!</v>
      </c>
      <c r="AA882" s="148"/>
      <c r="AB882" s="148"/>
      <c r="AC882" s="152"/>
      <c r="AD882" s="152"/>
      <c r="AE882" s="164"/>
      <c r="AF882" s="148"/>
      <c r="AG882" s="148"/>
      <c r="AH882" s="183"/>
    </row>
    <row r="883" spans="2:34" ht="35.1" customHeight="1" thickTop="1" thickBot="1" x14ac:dyDescent="0.25">
      <c r="B883" s="142"/>
      <c r="C883" s="142"/>
      <c r="D883" s="142"/>
      <c r="E883" s="142"/>
      <c r="F883" s="142"/>
      <c r="G883" s="142"/>
      <c r="H883" s="142"/>
      <c r="I883" s="159"/>
      <c r="J883" s="18" t="s">
        <v>27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e">
        <f t="shared" si="151"/>
        <v>#DIV/0!</v>
      </c>
      <c r="AA883" s="148"/>
      <c r="AB883" s="148"/>
      <c r="AC883" s="152"/>
      <c r="AD883" s="152"/>
      <c r="AE883" s="164"/>
      <c r="AF883" s="148"/>
      <c r="AG883" s="148"/>
      <c r="AH883" s="183"/>
    </row>
    <row r="884" spans="2:34" ht="35.1" customHeight="1" thickTop="1" thickBot="1" x14ac:dyDescent="0.25">
      <c r="B884" s="142"/>
      <c r="C884" s="142"/>
      <c r="D884" s="142"/>
      <c r="E884" s="142"/>
      <c r="F884" s="142"/>
      <c r="G884" s="142"/>
      <c r="H884" s="142"/>
      <c r="I884" s="159"/>
      <c r="J884" s="18" t="s">
        <v>26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e">
        <f t="shared" si="151"/>
        <v>#DIV/0!</v>
      </c>
      <c r="AA884" s="148"/>
      <c r="AB884" s="148"/>
      <c r="AC884" s="152"/>
      <c r="AD884" s="152"/>
      <c r="AE884" s="164"/>
      <c r="AF884" s="148"/>
      <c r="AG884" s="148"/>
      <c r="AH884" s="183"/>
    </row>
    <row r="885" spans="2:34" ht="35.1" customHeight="1" thickTop="1" thickBot="1" x14ac:dyDescent="0.25">
      <c r="B885" s="143"/>
      <c r="C885" s="143"/>
      <c r="D885" s="143"/>
      <c r="E885" s="143"/>
      <c r="F885" s="143"/>
      <c r="G885" s="143"/>
      <c r="H885" s="143"/>
      <c r="I885" s="160"/>
      <c r="J885" s="12" t="s">
        <v>25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e">
        <f t="shared" si="151"/>
        <v>#DIV/0!</v>
      </c>
      <c r="AA885" s="149"/>
      <c r="AB885" s="149"/>
      <c r="AC885" s="153"/>
      <c r="AD885" s="153"/>
      <c r="AE885" s="165"/>
      <c r="AF885" s="149"/>
      <c r="AG885" s="149"/>
      <c r="AH885" s="184"/>
    </row>
    <row r="886" spans="2:34" ht="35.1" customHeight="1" thickTop="1" thickBot="1" x14ac:dyDescent="0.25">
      <c r="B886" s="141"/>
      <c r="C886" s="141"/>
      <c r="D886" s="141"/>
      <c r="E886" s="141"/>
      <c r="F886" s="141"/>
      <c r="G886" s="141"/>
      <c r="H886" s="141"/>
      <c r="I886" s="158"/>
      <c r="J886" s="18" t="s">
        <v>30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e">
        <f t="shared" si="151"/>
        <v>#DIV/0!</v>
      </c>
      <c r="AA886" s="147" t="e">
        <f>AVERAGE(Z886,Z887,Z888,Z891)</f>
        <v>#DIV/0!</v>
      </c>
      <c r="AB886" s="150"/>
      <c r="AC886" s="151"/>
      <c r="AD886" s="151"/>
      <c r="AE886" s="163"/>
      <c r="AF886" s="150"/>
      <c r="AG886" s="150"/>
      <c r="AH886" s="182" t="e">
        <f t="shared" ref="AH886" si="160">(AC886)/AB886</f>
        <v>#DIV/0!</v>
      </c>
    </row>
    <row r="887" spans="2:34" ht="35.1" customHeight="1" thickTop="1" thickBot="1" x14ac:dyDescent="0.25">
      <c r="B887" s="142"/>
      <c r="C887" s="142"/>
      <c r="D887" s="142"/>
      <c r="E887" s="142"/>
      <c r="F887" s="142"/>
      <c r="G887" s="142"/>
      <c r="H887" s="142"/>
      <c r="I887" s="159"/>
      <c r="J887" s="18" t="s">
        <v>29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e">
        <f t="shared" si="151"/>
        <v>#DIV/0!</v>
      </c>
      <c r="AA887" s="148"/>
      <c r="AB887" s="148"/>
      <c r="AC887" s="152"/>
      <c r="AD887" s="152"/>
      <c r="AE887" s="164"/>
      <c r="AF887" s="148"/>
      <c r="AG887" s="148"/>
      <c r="AH887" s="183"/>
    </row>
    <row r="888" spans="2:34" ht="35.1" customHeight="1" thickTop="1" thickBot="1" x14ac:dyDescent="0.25">
      <c r="B888" s="142"/>
      <c r="C888" s="142"/>
      <c r="D888" s="142"/>
      <c r="E888" s="142"/>
      <c r="F888" s="142"/>
      <c r="G888" s="142"/>
      <c r="H888" s="142"/>
      <c r="I888" s="159"/>
      <c r="J888" s="18" t="s">
        <v>28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e">
        <f t="shared" si="151"/>
        <v>#DIV/0!</v>
      </c>
      <c r="AA888" s="148"/>
      <c r="AB888" s="148"/>
      <c r="AC888" s="152"/>
      <c r="AD888" s="152"/>
      <c r="AE888" s="164"/>
      <c r="AF888" s="148"/>
      <c r="AG888" s="148"/>
      <c r="AH888" s="183"/>
    </row>
    <row r="889" spans="2:34" ht="35.1" customHeight="1" thickTop="1" thickBot="1" x14ac:dyDescent="0.25">
      <c r="B889" s="142"/>
      <c r="C889" s="142"/>
      <c r="D889" s="142"/>
      <c r="E889" s="142"/>
      <c r="F889" s="142"/>
      <c r="G889" s="142"/>
      <c r="H889" s="142"/>
      <c r="I889" s="159"/>
      <c r="J889" s="18" t="s">
        <v>27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e">
        <f t="shared" si="151"/>
        <v>#DIV/0!</v>
      </c>
      <c r="AA889" s="148"/>
      <c r="AB889" s="148"/>
      <c r="AC889" s="152"/>
      <c r="AD889" s="152"/>
      <c r="AE889" s="164"/>
      <c r="AF889" s="148"/>
      <c r="AG889" s="148"/>
      <c r="AH889" s="183"/>
    </row>
    <row r="890" spans="2:34" ht="35.1" customHeight="1" thickTop="1" thickBot="1" x14ac:dyDescent="0.25">
      <c r="B890" s="142"/>
      <c r="C890" s="142"/>
      <c r="D890" s="142"/>
      <c r="E890" s="142"/>
      <c r="F890" s="142"/>
      <c r="G890" s="142"/>
      <c r="H890" s="142"/>
      <c r="I890" s="159"/>
      <c r="J890" s="18" t="s">
        <v>26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e">
        <f t="shared" si="151"/>
        <v>#DIV/0!</v>
      </c>
      <c r="AA890" s="148"/>
      <c r="AB890" s="148"/>
      <c r="AC890" s="152"/>
      <c r="AD890" s="152"/>
      <c r="AE890" s="164"/>
      <c r="AF890" s="148"/>
      <c r="AG890" s="148"/>
      <c r="AH890" s="183"/>
    </row>
    <row r="891" spans="2:34" ht="35.1" customHeight="1" thickTop="1" thickBot="1" x14ac:dyDescent="0.25">
      <c r="B891" s="143"/>
      <c r="C891" s="143"/>
      <c r="D891" s="143"/>
      <c r="E891" s="143"/>
      <c r="F891" s="143"/>
      <c r="G891" s="143"/>
      <c r="H891" s="143"/>
      <c r="I891" s="160"/>
      <c r="J891" s="12" t="s">
        <v>25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e">
        <f t="shared" si="151"/>
        <v>#DIV/0!</v>
      </c>
      <c r="AA891" s="149"/>
      <c r="AB891" s="149"/>
      <c r="AC891" s="153"/>
      <c r="AD891" s="153"/>
      <c r="AE891" s="165"/>
      <c r="AF891" s="149"/>
      <c r="AG891" s="149"/>
      <c r="AH891" s="184"/>
    </row>
    <row r="892" spans="2:34" ht="35.1" customHeight="1" thickTop="1" thickBot="1" x14ac:dyDescent="0.25">
      <c r="B892" s="141"/>
      <c r="C892" s="141"/>
      <c r="D892" s="141"/>
      <c r="E892" s="141"/>
      <c r="F892" s="141"/>
      <c r="G892" s="141"/>
      <c r="H892" s="141"/>
      <c r="I892" s="158"/>
      <c r="J892" s="18" t="s">
        <v>30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e">
        <f t="shared" si="151"/>
        <v>#DIV/0!</v>
      </c>
      <c r="AA892" s="147" t="e">
        <f>AVERAGE(Z892,Z893,Z894,Z897)</f>
        <v>#DIV/0!</v>
      </c>
      <c r="AB892" s="150"/>
      <c r="AC892" s="151"/>
      <c r="AD892" s="151"/>
      <c r="AE892" s="163"/>
      <c r="AF892" s="150"/>
      <c r="AG892" s="150"/>
      <c r="AH892" s="182" t="e">
        <f t="shared" ref="AH892" si="161">(AC892)/AB892</f>
        <v>#DIV/0!</v>
      </c>
    </row>
    <row r="893" spans="2:34" ht="35.1" customHeight="1" thickTop="1" thickBot="1" x14ac:dyDescent="0.25">
      <c r="B893" s="142"/>
      <c r="C893" s="142"/>
      <c r="D893" s="142"/>
      <c r="E893" s="142"/>
      <c r="F893" s="142"/>
      <c r="G893" s="142"/>
      <c r="H893" s="142"/>
      <c r="I893" s="159"/>
      <c r="J893" s="18" t="s">
        <v>29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e">
        <f t="shared" si="151"/>
        <v>#DIV/0!</v>
      </c>
      <c r="AA893" s="148"/>
      <c r="AB893" s="148"/>
      <c r="AC893" s="152"/>
      <c r="AD893" s="152"/>
      <c r="AE893" s="164"/>
      <c r="AF893" s="148"/>
      <c r="AG893" s="148"/>
      <c r="AH893" s="183"/>
    </row>
    <row r="894" spans="2:34" ht="35.1" customHeight="1" thickTop="1" thickBot="1" x14ac:dyDescent="0.25">
      <c r="B894" s="142"/>
      <c r="C894" s="142"/>
      <c r="D894" s="142"/>
      <c r="E894" s="142"/>
      <c r="F894" s="142"/>
      <c r="G894" s="142"/>
      <c r="H894" s="142"/>
      <c r="I894" s="159"/>
      <c r="J894" s="18" t="s">
        <v>28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e">
        <f t="shared" si="151"/>
        <v>#DIV/0!</v>
      </c>
      <c r="AA894" s="148"/>
      <c r="AB894" s="148"/>
      <c r="AC894" s="152"/>
      <c r="AD894" s="152"/>
      <c r="AE894" s="164"/>
      <c r="AF894" s="148"/>
      <c r="AG894" s="148"/>
      <c r="AH894" s="183"/>
    </row>
    <row r="895" spans="2:34" ht="35.1" customHeight="1" thickTop="1" thickBot="1" x14ac:dyDescent="0.25">
      <c r="B895" s="142"/>
      <c r="C895" s="142"/>
      <c r="D895" s="142"/>
      <c r="E895" s="142"/>
      <c r="F895" s="142"/>
      <c r="G895" s="142"/>
      <c r="H895" s="142"/>
      <c r="I895" s="159"/>
      <c r="J895" s="18" t="s">
        <v>27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e">
        <f t="shared" si="151"/>
        <v>#DIV/0!</v>
      </c>
      <c r="AA895" s="148"/>
      <c r="AB895" s="148"/>
      <c r="AC895" s="152"/>
      <c r="AD895" s="152"/>
      <c r="AE895" s="164"/>
      <c r="AF895" s="148"/>
      <c r="AG895" s="148"/>
      <c r="AH895" s="183"/>
    </row>
    <row r="896" spans="2:34" ht="35.1" customHeight="1" thickTop="1" thickBot="1" x14ac:dyDescent="0.25">
      <c r="B896" s="142"/>
      <c r="C896" s="142"/>
      <c r="D896" s="142"/>
      <c r="E896" s="142"/>
      <c r="F896" s="142"/>
      <c r="G896" s="142"/>
      <c r="H896" s="142"/>
      <c r="I896" s="159"/>
      <c r="J896" s="18" t="s">
        <v>26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e">
        <f t="shared" si="151"/>
        <v>#DIV/0!</v>
      </c>
      <c r="AA896" s="148"/>
      <c r="AB896" s="148"/>
      <c r="AC896" s="152"/>
      <c r="AD896" s="152"/>
      <c r="AE896" s="164"/>
      <c r="AF896" s="148"/>
      <c r="AG896" s="148"/>
      <c r="AH896" s="183"/>
    </row>
    <row r="897" spans="2:34" ht="35.1" customHeight="1" thickTop="1" thickBot="1" x14ac:dyDescent="0.25">
      <c r="B897" s="143"/>
      <c r="C897" s="143"/>
      <c r="D897" s="143"/>
      <c r="E897" s="143"/>
      <c r="F897" s="143"/>
      <c r="G897" s="143"/>
      <c r="H897" s="143"/>
      <c r="I897" s="160"/>
      <c r="J897" s="12" t="s">
        <v>25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e">
        <f t="shared" si="151"/>
        <v>#DIV/0!</v>
      </c>
      <c r="AA897" s="149"/>
      <c r="AB897" s="149"/>
      <c r="AC897" s="153"/>
      <c r="AD897" s="153"/>
      <c r="AE897" s="165"/>
      <c r="AF897" s="149"/>
      <c r="AG897" s="149"/>
      <c r="AH897" s="184"/>
    </row>
    <row r="898" spans="2:34" ht="35.1" customHeight="1" thickTop="1" thickBot="1" x14ac:dyDescent="0.25">
      <c r="B898" s="141"/>
      <c r="C898" s="141"/>
      <c r="D898" s="141"/>
      <c r="E898" s="141"/>
      <c r="F898" s="141"/>
      <c r="G898" s="141"/>
      <c r="H898" s="141"/>
      <c r="I898" s="158"/>
      <c r="J898" s="18" t="s">
        <v>30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e">
        <f t="shared" si="151"/>
        <v>#DIV/0!</v>
      </c>
      <c r="AA898" s="147" t="e">
        <f>AVERAGE(Z898,Z899,Z900,Z903)</f>
        <v>#DIV/0!</v>
      </c>
      <c r="AB898" s="150"/>
      <c r="AC898" s="151"/>
      <c r="AD898" s="151"/>
      <c r="AE898" s="163"/>
      <c r="AF898" s="150"/>
      <c r="AG898" s="150"/>
      <c r="AH898" s="182" t="e">
        <f t="shared" ref="AH898" si="162">(AC898)/AB898</f>
        <v>#DIV/0!</v>
      </c>
    </row>
    <row r="899" spans="2:34" ht="35.1" customHeight="1" thickTop="1" thickBot="1" x14ac:dyDescent="0.25">
      <c r="B899" s="142"/>
      <c r="C899" s="142"/>
      <c r="D899" s="142"/>
      <c r="E899" s="142"/>
      <c r="F899" s="142"/>
      <c r="G899" s="142"/>
      <c r="H899" s="142"/>
      <c r="I899" s="159"/>
      <c r="J899" s="18" t="s">
        <v>29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e">
        <f t="shared" si="151"/>
        <v>#DIV/0!</v>
      </c>
      <c r="AA899" s="148"/>
      <c r="AB899" s="148"/>
      <c r="AC899" s="152"/>
      <c r="AD899" s="152"/>
      <c r="AE899" s="164"/>
      <c r="AF899" s="148"/>
      <c r="AG899" s="148"/>
      <c r="AH899" s="183"/>
    </row>
    <row r="900" spans="2:34" ht="35.1" customHeight="1" thickTop="1" thickBot="1" x14ac:dyDescent="0.25">
      <c r="B900" s="142"/>
      <c r="C900" s="142"/>
      <c r="D900" s="142"/>
      <c r="E900" s="142"/>
      <c r="F900" s="142"/>
      <c r="G900" s="142"/>
      <c r="H900" s="142"/>
      <c r="I900" s="159"/>
      <c r="J900" s="18" t="s">
        <v>28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e">
        <f t="shared" ref="Z900:Z921" si="163">(L900)/K900</f>
        <v>#DIV/0!</v>
      </c>
      <c r="AA900" s="148"/>
      <c r="AB900" s="148"/>
      <c r="AC900" s="152"/>
      <c r="AD900" s="152"/>
      <c r="AE900" s="164"/>
      <c r="AF900" s="148"/>
      <c r="AG900" s="148"/>
      <c r="AH900" s="183"/>
    </row>
    <row r="901" spans="2:34" ht="35.1" customHeight="1" thickTop="1" thickBot="1" x14ac:dyDescent="0.25">
      <c r="B901" s="142"/>
      <c r="C901" s="142"/>
      <c r="D901" s="142"/>
      <c r="E901" s="142"/>
      <c r="F901" s="142"/>
      <c r="G901" s="142"/>
      <c r="H901" s="142"/>
      <c r="I901" s="159"/>
      <c r="J901" s="18" t="s">
        <v>27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e">
        <f t="shared" si="163"/>
        <v>#DIV/0!</v>
      </c>
      <c r="AA901" s="148"/>
      <c r="AB901" s="148"/>
      <c r="AC901" s="152"/>
      <c r="AD901" s="152"/>
      <c r="AE901" s="164"/>
      <c r="AF901" s="148"/>
      <c r="AG901" s="148"/>
      <c r="AH901" s="183"/>
    </row>
    <row r="902" spans="2:34" ht="35.1" customHeight="1" thickTop="1" thickBot="1" x14ac:dyDescent="0.25">
      <c r="B902" s="142"/>
      <c r="C902" s="142"/>
      <c r="D902" s="142"/>
      <c r="E902" s="142"/>
      <c r="F902" s="142"/>
      <c r="G902" s="142"/>
      <c r="H902" s="142"/>
      <c r="I902" s="159"/>
      <c r="J902" s="18" t="s">
        <v>26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e">
        <f t="shared" si="163"/>
        <v>#DIV/0!</v>
      </c>
      <c r="AA902" s="148"/>
      <c r="AB902" s="148"/>
      <c r="AC902" s="152"/>
      <c r="AD902" s="152"/>
      <c r="AE902" s="164"/>
      <c r="AF902" s="148"/>
      <c r="AG902" s="148"/>
      <c r="AH902" s="183"/>
    </row>
    <row r="903" spans="2:34" ht="35.1" customHeight="1" thickTop="1" thickBot="1" x14ac:dyDescent="0.25">
      <c r="B903" s="143"/>
      <c r="C903" s="143"/>
      <c r="D903" s="143"/>
      <c r="E903" s="143"/>
      <c r="F903" s="143"/>
      <c r="G903" s="143"/>
      <c r="H903" s="143"/>
      <c r="I903" s="160"/>
      <c r="J903" s="12" t="s">
        <v>25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e">
        <f t="shared" si="163"/>
        <v>#DIV/0!</v>
      </c>
      <c r="AA903" s="149"/>
      <c r="AB903" s="149"/>
      <c r="AC903" s="153"/>
      <c r="AD903" s="153"/>
      <c r="AE903" s="165"/>
      <c r="AF903" s="149"/>
      <c r="AG903" s="149"/>
      <c r="AH903" s="184"/>
    </row>
    <row r="904" spans="2:34" ht="35.1" customHeight="1" thickTop="1" thickBot="1" x14ac:dyDescent="0.25">
      <c r="B904" s="141"/>
      <c r="C904" s="141"/>
      <c r="D904" s="141"/>
      <c r="E904" s="141"/>
      <c r="F904" s="141"/>
      <c r="G904" s="141"/>
      <c r="H904" s="141"/>
      <c r="I904" s="158"/>
      <c r="J904" s="18" t="s">
        <v>30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e">
        <f t="shared" si="163"/>
        <v>#DIV/0!</v>
      </c>
      <c r="AA904" s="147" t="e">
        <f>AVERAGE(Z904,Z905,Z906,Z909)</f>
        <v>#DIV/0!</v>
      </c>
      <c r="AB904" s="150"/>
      <c r="AC904" s="151"/>
      <c r="AD904" s="151"/>
      <c r="AE904" s="163"/>
      <c r="AF904" s="150"/>
      <c r="AG904" s="150"/>
      <c r="AH904" s="182" t="e">
        <f t="shared" ref="AH904" si="164">(AC904)/AB904</f>
        <v>#DIV/0!</v>
      </c>
    </row>
    <row r="905" spans="2:34" ht="35.1" customHeight="1" thickTop="1" thickBot="1" x14ac:dyDescent="0.25">
      <c r="B905" s="142"/>
      <c r="C905" s="142"/>
      <c r="D905" s="142"/>
      <c r="E905" s="142"/>
      <c r="F905" s="142"/>
      <c r="G905" s="142"/>
      <c r="H905" s="142"/>
      <c r="I905" s="159"/>
      <c r="J905" s="18" t="s">
        <v>29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e">
        <f t="shared" si="163"/>
        <v>#DIV/0!</v>
      </c>
      <c r="AA905" s="148"/>
      <c r="AB905" s="148"/>
      <c r="AC905" s="152"/>
      <c r="AD905" s="152"/>
      <c r="AE905" s="164"/>
      <c r="AF905" s="148"/>
      <c r="AG905" s="148"/>
      <c r="AH905" s="183"/>
    </row>
    <row r="906" spans="2:34" ht="35.1" customHeight="1" thickTop="1" thickBot="1" x14ac:dyDescent="0.25">
      <c r="B906" s="142"/>
      <c r="C906" s="142"/>
      <c r="D906" s="142"/>
      <c r="E906" s="142"/>
      <c r="F906" s="142"/>
      <c r="G906" s="142"/>
      <c r="H906" s="142"/>
      <c r="I906" s="159"/>
      <c r="J906" s="18" t="s">
        <v>28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e">
        <f t="shared" si="163"/>
        <v>#DIV/0!</v>
      </c>
      <c r="AA906" s="148"/>
      <c r="AB906" s="148"/>
      <c r="AC906" s="152"/>
      <c r="AD906" s="152"/>
      <c r="AE906" s="164"/>
      <c r="AF906" s="148"/>
      <c r="AG906" s="148"/>
      <c r="AH906" s="183"/>
    </row>
    <row r="907" spans="2:34" ht="35.1" customHeight="1" thickTop="1" thickBot="1" x14ac:dyDescent="0.25">
      <c r="B907" s="142"/>
      <c r="C907" s="142"/>
      <c r="D907" s="142"/>
      <c r="E907" s="142"/>
      <c r="F907" s="142"/>
      <c r="G907" s="142"/>
      <c r="H907" s="142"/>
      <c r="I907" s="159"/>
      <c r="J907" s="18" t="s">
        <v>27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e">
        <f t="shared" si="163"/>
        <v>#DIV/0!</v>
      </c>
      <c r="AA907" s="148"/>
      <c r="AB907" s="148"/>
      <c r="AC907" s="152"/>
      <c r="AD907" s="152"/>
      <c r="AE907" s="164"/>
      <c r="AF907" s="148"/>
      <c r="AG907" s="148"/>
      <c r="AH907" s="183"/>
    </row>
    <row r="908" spans="2:34" ht="35.1" customHeight="1" thickTop="1" thickBot="1" x14ac:dyDescent="0.25">
      <c r="B908" s="142"/>
      <c r="C908" s="142"/>
      <c r="D908" s="142"/>
      <c r="E908" s="142"/>
      <c r="F908" s="142"/>
      <c r="G908" s="142"/>
      <c r="H908" s="142"/>
      <c r="I908" s="159"/>
      <c r="J908" s="18" t="s">
        <v>26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e">
        <f t="shared" si="163"/>
        <v>#DIV/0!</v>
      </c>
      <c r="AA908" s="148"/>
      <c r="AB908" s="148"/>
      <c r="AC908" s="152"/>
      <c r="AD908" s="152"/>
      <c r="AE908" s="164"/>
      <c r="AF908" s="148"/>
      <c r="AG908" s="148"/>
      <c r="AH908" s="183"/>
    </row>
    <row r="909" spans="2:34" ht="35.1" customHeight="1" thickTop="1" thickBot="1" x14ac:dyDescent="0.25">
      <c r="B909" s="143"/>
      <c r="C909" s="143"/>
      <c r="D909" s="143"/>
      <c r="E909" s="143"/>
      <c r="F909" s="143"/>
      <c r="G909" s="143"/>
      <c r="H909" s="143"/>
      <c r="I909" s="160"/>
      <c r="J909" s="12" t="s">
        <v>25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e">
        <f t="shared" si="163"/>
        <v>#DIV/0!</v>
      </c>
      <c r="AA909" s="149"/>
      <c r="AB909" s="149"/>
      <c r="AC909" s="153"/>
      <c r="AD909" s="153"/>
      <c r="AE909" s="165"/>
      <c r="AF909" s="149"/>
      <c r="AG909" s="149"/>
      <c r="AH909" s="184"/>
    </row>
    <row r="910" spans="2:34" ht="35.1" customHeight="1" thickTop="1" thickBot="1" x14ac:dyDescent="0.25">
      <c r="B910" s="141"/>
      <c r="C910" s="141"/>
      <c r="D910" s="141"/>
      <c r="E910" s="141"/>
      <c r="F910" s="141"/>
      <c r="G910" s="141"/>
      <c r="H910" s="141"/>
      <c r="I910" s="158"/>
      <c r="J910" s="18" t="s">
        <v>30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e">
        <f t="shared" si="163"/>
        <v>#DIV/0!</v>
      </c>
      <c r="AA910" s="147" t="e">
        <f>AVERAGE(Z910,Z911,Z912,Z915)</f>
        <v>#DIV/0!</v>
      </c>
      <c r="AB910" s="150"/>
      <c r="AC910" s="151"/>
      <c r="AD910" s="151"/>
      <c r="AE910" s="163"/>
      <c r="AF910" s="150"/>
      <c r="AG910" s="150"/>
      <c r="AH910" s="182" t="e">
        <f t="shared" ref="AH910" si="165">(AC910)/AB910</f>
        <v>#DIV/0!</v>
      </c>
    </row>
    <row r="911" spans="2:34" ht="35.1" customHeight="1" thickTop="1" thickBot="1" x14ac:dyDescent="0.25">
      <c r="B911" s="142"/>
      <c r="C911" s="142"/>
      <c r="D911" s="142"/>
      <c r="E911" s="142"/>
      <c r="F911" s="142"/>
      <c r="G911" s="142"/>
      <c r="H911" s="142"/>
      <c r="I911" s="159"/>
      <c r="J911" s="18" t="s">
        <v>29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e">
        <f t="shared" si="163"/>
        <v>#DIV/0!</v>
      </c>
      <c r="AA911" s="148"/>
      <c r="AB911" s="148"/>
      <c r="AC911" s="152"/>
      <c r="AD911" s="152"/>
      <c r="AE911" s="164"/>
      <c r="AF911" s="148"/>
      <c r="AG911" s="148"/>
      <c r="AH911" s="183"/>
    </row>
    <row r="912" spans="2:34" ht="35.1" customHeight="1" thickTop="1" thickBot="1" x14ac:dyDescent="0.25">
      <c r="B912" s="142"/>
      <c r="C912" s="142"/>
      <c r="D912" s="142"/>
      <c r="E912" s="142"/>
      <c r="F912" s="142"/>
      <c r="G912" s="142"/>
      <c r="H912" s="142"/>
      <c r="I912" s="159"/>
      <c r="J912" s="18" t="s">
        <v>28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e">
        <f t="shared" si="163"/>
        <v>#DIV/0!</v>
      </c>
      <c r="AA912" s="148"/>
      <c r="AB912" s="148"/>
      <c r="AC912" s="152"/>
      <c r="AD912" s="152"/>
      <c r="AE912" s="164"/>
      <c r="AF912" s="148"/>
      <c r="AG912" s="148"/>
      <c r="AH912" s="183"/>
    </row>
    <row r="913" spans="2:34" ht="35.1" customHeight="1" thickTop="1" thickBot="1" x14ac:dyDescent="0.25">
      <c r="B913" s="142"/>
      <c r="C913" s="142"/>
      <c r="D913" s="142"/>
      <c r="E913" s="142"/>
      <c r="F913" s="142"/>
      <c r="G913" s="142"/>
      <c r="H913" s="142"/>
      <c r="I913" s="159"/>
      <c r="J913" s="18" t="s">
        <v>27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e">
        <f t="shared" si="163"/>
        <v>#DIV/0!</v>
      </c>
      <c r="AA913" s="148"/>
      <c r="AB913" s="148"/>
      <c r="AC913" s="152"/>
      <c r="AD913" s="152"/>
      <c r="AE913" s="164"/>
      <c r="AF913" s="148"/>
      <c r="AG913" s="148"/>
      <c r="AH913" s="183"/>
    </row>
    <row r="914" spans="2:34" ht="35.1" customHeight="1" thickTop="1" thickBot="1" x14ac:dyDescent="0.25">
      <c r="B914" s="142"/>
      <c r="C914" s="142"/>
      <c r="D914" s="142"/>
      <c r="E914" s="142"/>
      <c r="F914" s="142"/>
      <c r="G914" s="142"/>
      <c r="H914" s="142"/>
      <c r="I914" s="159"/>
      <c r="J914" s="18" t="s">
        <v>26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e">
        <f t="shared" si="163"/>
        <v>#DIV/0!</v>
      </c>
      <c r="AA914" s="148"/>
      <c r="AB914" s="148"/>
      <c r="AC914" s="152"/>
      <c r="AD914" s="152"/>
      <c r="AE914" s="164"/>
      <c r="AF914" s="148"/>
      <c r="AG914" s="148"/>
      <c r="AH914" s="183"/>
    </row>
    <row r="915" spans="2:34" ht="35.1" customHeight="1" thickTop="1" thickBot="1" x14ac:dyDescent="0.25">
      <c r="B915" s="143"/>
      <c r="C915" s="143"/>
      <c r="D915" s="143"/>
      <c r="E915" s="143"/>
      <c r="F915" s="143"/>
      <c r="G915" s="143"/>
      <c r="H915" s="143"/>
      <c r="I915" s="160"/>
      <c r="J915" s="12" t="s">
        <v>25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e">
        <f t="shared" si="163"/>
        <v>#DIV/0!</v>
      </c>
      <c r="AA915" s="149"/>
      <c r="AB915" s="149"/>
      <c r="AC915" s="153"/>
      <c r="AD915" s="153"/>
      <c r="AE915" s="165"/>
      <c r="AF915" s="149"/>
      <c r="AG915" s="149"/>
      <c r="AH915" s="184"/>
    </row>
    <row r="916" spans="2:34" ht="35.1" customHeight="1" thickTop="1" thickBot="1" x14ac:dyDescent="0.25">
      <c r="B916" s="141"/>
      <c r="C916" s="141"/>
      <c r="D916" s="141"/>
      <c r="E916" s="141"/>
      <c r="F916" s="141"/>
      <c r="G916" s="141"/>
      <c r="H916" s="141"/>
      <c r="I916" s="158"/>
      <c r="J916" s="18" t="s">
        <v>30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e">
        <f t="shared" si="163"/>
        <v>#DIV/0!</v>
      </c>
      <c r="AA916" s="147" t="e">
        <f>AVERAGE(Z916,Z917,Z918,Z921)</f>
        <v>#DIV/0!</v>
      </c>
      <c r="AB916" s="150"/>
      <c r="AC916" s="151"/>
      <c r="AD916" s="151"/>
      <c r="AE916" s="163"/>
      <c r="AF916" s="150"/>
      <c r="AG916" s="150"/>
      <c r="AH916" s="182" t="e">
        <f t="shared" ref="AH916" si="166">(AC916)/AB916</f>
        <v>#DIV/0!</v>
      </c>
    </row>
    <row r="917" spans="2:34" ht="35.1" customHeight="1" thickTop="1" thickBot="1" x14ac:dyDescent="0.25">
      <c r="B917" s="142"/>
      <c r="C917" s="142"/>
      <c r="D917" s="142"/>
      <c r="E917" s="142"/>
      <c r="F917" s="142"/>
      <c r="G917" s="142"/>
      <c r="H917" s="142"/>
      <c r="I917" s="159"/>
      <c r="J917" s="18" t="s">
        <v>29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e">
        <f t="shared" si="163"/>
        <v>#DIV/0!</v>
      </c>
      <c r="AA917" s="148"/>
      <c r="AB917" s="148"/>
      <c r="AC917" s="152"/>
      <c r="AD917" s="152"/>
      <c r="AE917" s="164"/>
      <c r="AF917" s="148"/>
      <c r="AG917" s="148"/>
      <c r="AH917" s="183"/>
    </row>
    <row r="918" spans="2:34" ht="35.1" customHeight="1" thickTop="1" thickBot="1" x14ac:dyDescent="0.25">
      <c r="B918" s="142"/>
      <c r="C918" s="142"/>
      <c r="D918" s="142"/>
      <c r="E918" s="142"/>
      <c r="F918" s="142"/>
      <c r="G918" s="142"/>
      <c r="H918" s="142"/>
      <c r="I918" s="159"/>
      <c r="J918" s="18" t="s">
        <v>28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e">
        <f t="shared" si="163"/>
        <v>#DIV/0!</v>
      </c>
      <c r="AA918" s="148"/>
      <c r="AB918" s="148"/>
      <c r="AC918" s="152"/>
      <c r="AD918" s="152"/>
      <c r="AE918" s="164"/>
      <c r="AF918" s="148"/>
      <c r="AG918" s="148"/>
      <c r="AH918" s="183"/>
    </row>
    <row r="919" spans="2:34" ht="35.1" customHeight="1" thickTop="1" thickBot="1" x14ac:dyDescent="0.25">
      <c r="B919" s="142"/>
      <c r="C919" s="142"/>
      <c r="D919" s="142"/>
      <c r="E919" s="142"/>
      <c r="F919" s="142"/>
      <c r="G919" s="142"/>
      <c r="H919" s="142"/>
      <c r="I919" s="159"/>
      <c r="J919" s="18" t="s">
        <v>27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e">
        <f t="shared" si="163"/>
        <v>#DIV/0!</v>
      </c>
      <c r="AA919" s="148"/>
      <c r="AB919" s="148"/>
      <c r="AC919" s="152"/>
      <c r="AD919" s="152"/>
      <c r="AE919" s="164"/>
      <c r="AF919" s="148"/>
      <c r="AG919" s="148"/>
      <c r="AH919" s="183"/>
    </row>
    <row r="920" spans="2:34" ht="35.1" customHeight="1" thickTop="1" thickBot="1" x14ac:dyDescent="0.25">
      <c r="B920" s="142"/>
      <c r="C920" s="142"/>
      <c r="D920" s="142"/>
      <c r="E920" s="142"/>
      <c r="F920" s="142"/>
      <c r="G920" s="142"/>
      <c r="H920" s="142"/>
      <c r="I920" s="159"/>
      <c r="J920" s="18" t="s">
        <v>26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e">
        <f t="shared" si="163"/>
        <v>#DIV/0!</v>
      </c>
      <c r="AA920" s="148"/>
      <c r="AB920" s="148"/>
      <c r="AC920" s="152"/>
      <c r="AD920" s="152"/>
      <c r="AE920" s="164"/>
      <c r="AF920" s="148"/>
      <c r="AG920" s="148"/>
      <c r="AH920" s="183"/>
    </row>
    <row r="921" spans="2:34" ht="35.1" customHeight="1" thickTop="1" thickBot="1" x14ac:dyDescent="0.25">
      <c r="B921" s="143"/>
      <c r="C921" s="143"/>
      <c r="D921" s="143"/>
      <c r="E921" s="143"/>
      <c r="F921" s="143"/>
      <c r="G921" s="143"/>
      <c r="H921" s="143"/>
      <c r="I921" s="160"/>
      <c r="J921" s="12" t="s">
        <v>25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e">
        <f t="shared" si="163"/>
        <v>#DIV/0!</v>
      </c>
      <c r="AA921" s="149"/>
      <c r="AB921" s="149"/>
      <c r="AC921" s="153"/>
      <c r="AD921" s="153"/>
      <c r="AE921" s="165"/>
      <c r="AF921" s="149"/>
      <c r="AG921" s="149"/>
      <c r="AH921" s="184"/>
    </row>
    <row r="922" spans="2:34" ht="35.1" customHeight="1" thickTop="1" x14ac:dyDescent="0.2"/>
  </sheetData>
  <mergeCells count="2465">
    <mergeCell ref="AB916:AB921"/>
    <mergeCell ref="AC916:AC921"/>
    <mergeCell ref="AD916:AD921"/>
    <mergeCell ref="AE916:AE921"/>
    <mergeCell ref="AG916:AG921"/>
    <mergeCell ref="AF916:AF921"/>
    <mergeCell ref="AH916:AH921"/>
    <mergeCell ref="AB904:AB909"/>
    <mergeCell ref="AC904:AC909"/>
    <mergeCell ref="AD904:AD909"/>
    <mergeCell ref="AE904:AE909"/>
    <mergeCell ref="AG904:AG909"/>
    <mergeCell ref="AH904:AH909"/>
    <mergeCell ref="AB910:AB915"/>
    <mergeCell ref="AC910:AC915"/>
    <mergeCell ref="AD910:AD915"/>
    <mergeCell ref="AE910:AE915"/>
    <mergeCell ref="AG910:AG915"/>
    <mergeCell ref="AH910:AH915"/>
    <mergeCell ref="AF904:AF909"/>
    <mergeCell ref="AF910:AF915"/>
    <mergeCell ref="AB892:AB897"/>
    <mergeCell ref="AC892:AC897"/>
    <mergeCell ref="AD892:AD897"/>
    <mergeCell ref="AE892:AE897"/>
    <mergeCell ref="AG892:AG897"/>
    <mergeCell ref="AH892:AH897"/>
    <mergeCell ref="AB898:AB903"/>
    <mergeCell ref="AC898:AC903"/>
    <mergeCell ref="AD898:AD903"/>
    <mergeCell ref="AE898:AE903"/>
    <mergeCell ref="AG898:AG903"/>
    <mergeCell ref="AH898:AH903"/>
    <mergeCell ref="AB880:AB885"/>
    <mergeCell ref="AC880:AC885"/>
    <mergeCell ref="AD880:AD885"/>
    <mergeCell ref="AE880:AE885"/>
    <mergeCell ref="AG880:AG885"/>
    <mergeCell ref="AH880:AH885"/>
    <mergeCell ref="AB886:AB891"/>
    <mergeCell ref="AC886:AC891"/>
    <mergeCell ref="AD886:AD891"/>
    <mergeCell ref="AE886:AE891"/>
    <mergeCell ref="AG886:AG891"/>
    <mergeCell ref="AH886:AH891"/>
    <mergeCell ref="AF880:AF885"/>
    <mergeCell ref="AF886:AF891"/>
    <mergeCell ref="AF892:AF897"/>
    <mergeCell ref="AF898:AF903"/>
    <mergeCell ref="AB868:AB873"/>
    <mergeCell ref="AC868:AC873"/>
    <mergeCell ref="AD868:AD873"/>
    <mergeCell ref="AE868:AE873"/>
    <mergeCell ref="AG868:AG873"/>
    <mergeCell ref="AF868:AF873"/>
    <mergeCell ref="AH868:AH873"/>
    <mergeCell ref="AB874:AB879"/>
    <mergeCell ref="AC874:AC879"/>
    <mergeCell ref="AD874:AD879"/>
    <mergeCell ref="AE874:AE879"/>
    <mergeCell ref="AG874:AG879"/>
    <mergeCell ref="AH874:AH879"/>
    <mergeCell ref="AB856:AB861"/>
    <mergeCell ref="AC856:AC861"/>
    <mergeCell ref="AD856:AD861"/>
    <mergeCell ref="AE856:AE861"/>
    <mergeCell ref="AG856:AG861"/>
    <mergeCell ref="AH856:AH861"/>
    <mergeCell ref="AB862:AB867"/>
    <mergeCell ref="AC862:AC867"/>
    <mergeCell ref="AD862:AD867"/>
    <mergeCell ref="AE862:AE867"/>
    <mergeCell ref="AG862:AG867"/>
    <mergeCell ref="AH862:AH867"/>
    <mergeCell ref="AF874:AF879"/>
    <mergeCell ref="AF856:AF861"/>
    <mergeCell ref="AF862:AF867"/>
    <mergeCell ref="AB844:AB849"/>
    <mergeCell ref="AC844:AC849"/>
    <mergeCell ref="AD844:AD849"/>
    <mergeCell ref="AE844:AE849"/>
    <mergeCell ref="AG844:AG849"/>
    <mergeCell ref="AH844:AH849"/>
    <mergeCell ref="AB850:AB855"/>
    <mergeCell ref="AC850:AC855"/>
    <mergeCell ref="AD850:AD855"/>
    <mergeCell ref="AE850:AE855"/>
    <mergeCell ref="AG850:AG855"/>
    <mergeCell ref="AH850:AH855"/>
    <mergeCell ref="AB832:AB837"/>
    <mergeCell ref="AC832:AC837"/>
    <mergeCell ref="AD832:AD837"/>
    <mergeCell ref="AE832:AE837"/>
    <mergeCell ref="AG832:AG837"/>
    <mergeCell ref="AH832:AH837"/>
    <mergeCell ref="AB838:AB843"/>
    <mergeCell ref="AC838:AC843"/>
    <mergeCell ref="AD838:AD843"/>
    <mergeCell ref="AE838:AE843"/>
    <mergeCell ref="AG838:AG843"/>
    <mergeCell ref="AH838:AH843"/>
    <mergeCell ref="AF832:AF837"/>
    <mergeCell ref="AF838:AF843"/>
    <mergeCell ref="AF844:AF849"/>
    <mergeCell ref="AF850:AF855"/>
    <mergeCell ref="AB820:AB825"/>
    <mergeCell ref="AC820:AC825"/>
    <mergeCell ref="AD820:AD825"/>
    <mergeCell ref="AE820:AE825"/>
    <mergeCell ref="AG820:AG825"/>
    <mergeCell ref="AH820:AH825"/>
    <mergeCell ref="AB826:AB831"/>
    <mergeCell ref="AC826:AC831"/>
    <mergeCell ref="AD826:AD831"/>
    <mergeCell ref="AE826:AE831"/>
    <mergeCell ref="AG826:AG831"/>
    <mergeCell ref="AH826:AH831"/>
    <mergeCell ref="AB808:AB813"/>
    <mergeCell ref="AC808:AC813"/>
    <mergeCell ref="AD808:AD813"/>
    <mergeCell ref="AE808:AE813"/>
    <mergeCell ref="AG808:AG813"/>
    <mergeCell ref="AH808:AH813"/>
    <mergeCell ref="AB814:AB819"/>
    <mergeCell ref="AC814:AC819"/>
    <mergeCell ref="AD814:AD819"/>
    <mergeCell ref="AE814:AE819"/>
    <mergeCell ref="AG814:AG819"/>
    <mergeCell ref="AH814:AH819"/>
    <mergeCell ref="AF814:AF819"/>
    <mergeCell ref="AF820:AF825"/>
    <mergeCell ref="AF826:AF831"/>
    <mergeCell ref="AF808:AF813"/>
    <mergeCell ref="AB796:AB801"/>
    <mergeCell ref="AC796:AC801"/>
    <mergeCell ref="AD796:AD801"/>
    <mergeCell ref="AE796:AE801"/>
    <mergeCell ref="AG796:AG801"/>
    <mergeCell ref="AH796:AH801"/>
    <mergeCell ref="AB802:AB807"/>
    <mergeCell ref="AC802:AC807"/>
    <mergeCell ref="AD802:AD807"/>
    <mergeCell ref="AE802:AE807"/>
    <mergeCell ref="AG802:AG807"/>
    <mergeCell ref="AH802:AH807"/>
    <mergeCell ref="AB784:AB789"/>
    <mergeCell ref="AC784:AC789"/>
    <mergeCell ref="AD784:AD789"/>
    <mergeCell ref="AE784:AE789"/>
    <mergeCell ref="AG784:AG789"/>
    <mergeCell ref="AH784:AH789"/>
    <mergeCell ref="AB790:AB795"/>
    <mergeCell ref="AC790:AC795"/>
    <mergeCell ref="AD790:AD795"/>
    <mergeCell ref="AE790:AE795"/>
    <mergeCell ref="AG790:AG795"/>
    <mergeCell ref="AH790:AH795"/>
    <mergeCell ref="AF784:AF789"/>
    <mergeCell ref="AF790:AF795"/>
    <mergeCell ref="AF796:AF801"/>
    <mergeCell ref="AF802:AF807"/>
    <mergeCell ref="AB772:AB777"/>
    <mergeCell ref="AC772:AC777"/>
    <mergeCell ref="AD772:AD777"/>
    <mergeCell ref="AE772:AE777"/>
    <mergeCell ref="AG772:AG777"/>
    <mergeCell ref="AH772:AH777"/>
    <mergeCell ref="AB778:AB783"/>
    <mergeCell ref="AC778:AC783"/>
    <mergeCell ref="AD778:AD783"/>
    <mergeCell ref="AE778:AE783"/>
    <mergeCell ref="AG778:AG783"/>
    <mergeCell ref="AH778:AH783"/>
    <mergeCell ref="AB760:AB765"/>
    <mergeCell ref="AC760:AC765"/>
    <mergeCell ref="AD760:AD765"/>
    <mergeCell ref="AE760:AE765"/>
    <mergeCell ref="AG760:AG765"/>
    <mergeCell ref="AF760:AF765"/>
    <mergeCell ref="AH760:AH765"/>
    <mergeCell ref="AB766:AB771"/>
    <mergeCell ref="AC766:AC771"/>
    <mergeCell ref="AD766:AD771"/>
    <mergeCell ref="AE766:AE771"/>
    <mergeCell ref="AG766:AG771"/>
    <mergeCell ref="AH766:AH771"/>
    <mergeCell ref="AF766:AF771"/>
    <mergeCell ref="AF772:AF777"/>
    <mergeCell ref="AF778:AF783"/>
    <mergeCell ref="AB748:AB753"/>
    <mergeCell ref="AC748:AC753"/>
    <mergeCell ref="AD748:AD753"/>
    <mergeCell ref="AE748:AE753"/>
    <mergeCell ref="AG748:AG753"/>
    <mergeCell ref="AH748:AH753"/>
    <mergeCell ref="AB754:AB759"/>
    <mergeCell ref="AC754:AC759"/>
    <mergeCell ref="AD754:AD759"/>
    <mergeCell ref="AE754:AE759"/>
    <mergeCell ref="AG754:AG759"/>
    <mergeCell ref="AH754:AH759"/>
    <mergeCell ref="AB736:AB741"/>
    <mergeCell ref="AC736:AC741"/>
    <mergeCell ref="AD736:AD741"/>
    <mergeCell ref="AE736:AE741"/>
    <mergeCell ref="AG736:AG741"/>
    <mergeCell ref="AH736:AH741"/>
    <mergeCell ref="AB742:AB747"/>
    <mergeCell ref="AC742:AC747"/>
    <mergeCell ref="AD742:AD747"/>
    <mergeCell ref="AE742:AE747"/>
    <mergeCell ref="AG742:AG747"/>
    <mergeCell ref="AH742:AH747"/>
    <mergeCell ref="AF742:AF747"/>
    <mergeCell ref="AF748:AF753"/>
    <mergeCell ref="AF754:AF759"/>
    <mergeCell ref="AF736:AF741"/>
    <mergeCell ref="AB724:AB729"/>
    <mergeCell ref="AC724:AC729"/>
    <mergeCell ref="AD724:AD729"/>
    <mergeCell ref="AE724:AE729"/>
    <mergeCell ref="AG724:AG729"/>
    <mergeCell ref="AH724:AH729"/>
    <mergeCell ref="AB730:AB735"/>
    <mergeCell ref="AC730:AC735"/>
    <mergeCell ref="AD730:AD735"/>
    <mergeCell ref="AE730:AE735"/>
    <mergeCell ref="AG730:AG735"/>
    <mergeCell ref="AH730:AH735"/>
    <mergeCell ref="AB712:AB717"/>
    <mergeCell ref="AC712:AC717"/>
    <mergeCell ref="AD712:AD717"/>
    <mergeCell ref="AE712:AE717"/>
    <mergeCell ref="AG712:AG717"/>
    <mergeCell ref="AH712:AH717"/>
    <mergeCell ref="AB718:AB723"/>
    <mergeCell ref="AC718:AC723"/>
    <mergeCell ref="AD718:AD723"/>
    <mergeCell ref="AE718:AE723"/>
    <mergeCell ref="AG718:AG723"/>
    <mergeCell ref="AH718:AH723"/>
    <mergeCell ref="AF712:AF717"/>
    <mergeCell ref="AF718:AF723"/>
    <mergeCell ref="AF724:AF729"/>
    <mergeCell ref="AF730:AF735"/>
    <mergeCell ref="AB700:AB705"/>
    <mergeCell ref="AC700:AC705"/>
    <mergeCell ref="AD700:AD705"/>
    <mergeCell ref="AE700:AE705"/>
    <mergeCell ref="AG700:AG705"/>
    <mergeCell ref="AH700:AH705"/>
    <mergeCell ref="AB706:AB711"/>
    <mergeCell ref="AC706:AC711"/>
    <mergeCell ref="AD706:AD711"/>
    <mergeCell ref="AE706:AE711"/>
    <mergeCell ref="AG706:AG711"/>
    <mergeCell ref="AH706:AH711"/>
    <mergeCell ref="AB688:AB693"/>
    <mergeCell ref="AC688:AC693"/>
    <mergeCell ref="AD688:AD693"/>
    <mergeCell ref="AE688:AE693"/>
    <mergeCell ref="AG688:AG693"/>
    <mergeCell ref="AH688:AH693"/>
    <mergeCell ref="AB694:AB699"/>
    <mergeCell ref="AC694:AC699"/>
    <mergeCell ref="AD694:AD699"/>
    <mergeCell ref="AE694:AE699"/>
    <mergeCell ref="AG694:AG699"/>
    <mergeCell ref="AH694:AH699"/>
    <mergeCell ref="AF688:AF693"/>
    <mergeCell ref="AF694:AF699"/>
    <mergeCell ref="AF700:AF705"/>
    <mergeCell ref="AF706:AF711"/>
    <mergeCell ref="AB676:AB681"/>
    <mergeCell ref="AC676:AC681"/>
    <mergeCell ref="AD676:AD681"/>
    <mergeCell ref="AE676:AE681"/>
    <mergeCell ref="AG676:AG681"/>
    <mergeCell ref="AH676:AH681"/>
    <mergeCell ref="AB682:AB687"/>
    <mergeCell ref="AC682:AC687"/>
    <mergeCell ref="AD682:AD687"/>
    <mergeCell ref="AE682:AE687"/>
    <mergeCell ref="AG682:AG687"/>
    <mergeCell ref="AH682:AH687"/>
    <mergeCell ref="AB664:AB669"/>
    <mergeCell ref="AC664:AC669"/>
    <mergeCell ref="AD664:AD669"/>
    <mergeCell ref="AE664:AE669"/>
    <mergeCell ref="AG664:AG669"/>
    <mergeCell ref="AH664:AH669"/>
    <mergeCell ref="AB670:AB675"/>
    <mergeCell ref="AC670:AC675"/>
    <mergeCell ref="AD670:AD675"/>
    <mergeCell ref="AE670:AE675"/>
    <mergeCell ref="AG670:AG675"/>
    <mergeCell ref="AH670:AH675"/>
    <mergeCell ref="AF682:AF687"/>
    <mergeCell ref="AF664:AF669"/>
    <mergeCell ref="AF670:AF675"/>
    <mergeCell ref="AF676:AF681"/>
    <mergeCell ref="AB652:AB657"/>
    <mergeCell ref="AC652:AC657"/>
    <mergeCell ref="AD652:AD657"/>
    <mergeCell ref="AE652:AE657"/>
    <mergeCell ref="AG652:AG657"/>
    <mergeCell ref="AH652:AH657"/>
    <mergeCell ref="AB658:AB663"/>
    <mergeCell ref="AC658:AC663"/>
    <mergeCell ref="AD658:AD663"/>
    <mergeCell ref="AE658:AE663"/>
    <mergeCell ref="AG658:AG663"/>
    <mergeCell ref="AH658:AH663"/>
    <mergeCell ref="AB640:AB645"/>
    <mergeCell ref="AC640:AC645"/>
    <mergeCell ref="AD640:AD645"/>
    <mergeCell ref="AE640:AE645"/>
    <mergeCell ref="AG640:AG645"/>
    <mergeCell ref="AH640:AH645"/>
    <mergeCell ref="AB646:AB651"/>
    <mergeCell ref="AC646:AC651"/>
    <mergeCell ref="AD646:AD651"/>
    <mergeCell ref="AE646:AE651"/>
    <mergeCell ref="AG646:AG651"/>
    <mergeCell ref="AH646:AH651"/>
    <mergeCell ref="AF640:AF645"/>
    <mergeCell ref="AF646:AF651"/>
    <mergeCell ref="AF652:AF657"/>
    <mergeCell ref="AF658:AF663"/>
    <mergeCell ref="AB628:AB633"/>
    <mergeCell ref="AC628:AC633"/>
    <mergeCell ref="AD628:AD633"/>
    <mergeCell ref="AE628:AE633"/>
    <mergeCell ref="AG628:AG633"/>
    <mergeCell ref="AH628:AH633"/>
    <mergeCell ref="AB634:AB639"/>
    <mergeCell ref="AC634:AC639"/>
    <mergeCell ref="AD634:AD639"/>
    <mergeCell ref="AE634:AE639"/>
    <mergeCell ref="AG634:AG639"/>
    <mergeCell ref="AH634:AH639"/>
    <mergeCell ref="AB616:AB621"/>
    <mergeCell ref="AC616:AC621"/>
    <mergeCell ref="AD616:AD621"/>
    <mergeCell ref="AE616:AE621"/>
    <mergeCell ref="AG616:AG621"/>
    <mergeCell ref="AH616:AH621"/>
    <mergeCell ref="AB622:AB627"/>
    <mergeCell ref="AC622:AC627"/>
    <mergeCell ref="AD622:AD627"/>
    <mergeCell ref="AE622:AE627"/>
    <mergeCell ref="AG622:AG627"/>
    <mergeCell ref="AH622:AH627"/>
    <mergeCell ref="AF622:AF627"/>
    <mergeCell ref="AF628:AF633"/>
    <mergeCell ref="AF634:AF639"/>
    <mergeCell ref="AF616:AF621"/>
    <mergeCell ref="AB604:AB609"/>
    <mergeCell ref="AC604:AC609"/>
    <mergeCell ref="AD604:AD609"/>
    <mergeCell ref="AE604:AE609"/>
    <mergeCell ref="AG604:AG609"/>
    <mergeCell ref="AH604:AH609"/>
    <mergeCell ref="AB610:AB615"/>
    <mergeCell ref="AC610:AC615"/>
    <mergeCell ref="AD610:AD615"/>
    <mergeCell ref="AE610:AE615"/>
    <mergeCell ref="AG610:AG615"/>
    <mergeCell ref="AH610:AH615"/>
    <mergeCell ref="AB592:AB597"/>
    <mergeCell ref="AC592:AC597"/>
    <mergeCell ref="AD592:AD597"/>
    <mergeCell ref="AE592:AE597"/>
    <mergeCell ref="AG592:AG597"/>
    <mergeCell ref="AH592:AH597"/>
    <mergeCell ref="AB598:AB603"/>
    <mergeCell ref="AC598:AC603"/>
    <mergeCell ref="AD598:AD603"/>
    <mergeCell ref="AE598:AE603"/>
    <mergeCell ref="AG598:AG603"/>
    <mergeCell ref="AH598:AH603"/>
    <mergeCell ref="AF592:AF597"/>
    <mergeCell ref="AF598:AF603"/>
    <mergeCell ref="AF604:AF609"/>
    <mergeCell ref="AF610:AF615"/>
    <mergeCell ref="AB580:AB585"/>
    <mergeCell ref="AC580:AC585"/>
    <mergeCell ref="AD580:AD585"/>
    <mergeCell ref="AE580:AE585"/>
    <mergeCell ref="AG580:AG585"/>
    <mergeCell ref="AH580:AH585"/>
    <mergeCell ref="AB586:AB591"/>
    <mergeCell ref="AC586:AC591"/>
    <mergeCell ref="AD586:AD591"/>
    <mergeCell ref="AE586:AE591"/>
    <mergeCell ref="AG586:AG591"/>
    <mergeCell ref="AH586:AH591"/>
    <mergeCell ref="AB568:AB573"/>
    <mergeCell ref="AC568:AC573"/>
    <mergeCell ref="AD568:AD573"/>
    <mergeCell ref="AE568:AE573"/>
    <mergeCell ref="AG568:AG573"/>
    <mergeCell ref="AH568:AH573"/>
    <mergeCell ref="AB574:AB579"/>
    <mergeCell ref="AC574:AC579"/>
    <mergeCell ref="AD574:AD579"/>
    <mergeCell ref="AE574:AE579"/>
    <mergeCell ref="AG574:AG579"/>
    <mergeCell ref="AH574:AH579"/>
    <mergeCell ref="AF568:AF573"/>
    <mergeCell ref="AF574:AF579"/>
    <mergeCell ref="AF580:AF585"/>
    <mergeCell ref="AF586:AF591"/>
    <mergeCell ref="AB556:AB561"/>
    <mergeCell ref="AC556:AC561"/>
    <mergeCell ref="AD556:AD561"/>
    <mergeCell ref="AE556:AE561"/>
    <mergeCell ref="AG556:AG561"/>
    <mergeCell ref="AH556:AH561"/>
    <mergeCell ref="AB562:AB567"/>
    <mergeCell ref="AC562:AC567"/>
    <mergeCell ref="AD562:AD567"/>
    <mergeCell ref="AE562:AE567"/>
    <mergeCell ref="AG562:AG567"/>
    <mergeCell ref="AH562:AH567"/>
    <mergeCell ref="AB544:AB549"/>
    <mergeCell ref="AC544:AC549"/>
    <mergeCell ref="AD544:AD549"/>
    <mergeCell ref="AE544:AE549"/>
    <mergeCell ref="AG544:AG549"/>
    <mergeCell ref="AH544:AH549"/>
    <mergeCell ref="AB550:AB555"/>
    <mergeCell ref="AC550:AC555"/>
    <mergeCell ref="AD550:AD555"/>
    <mergeCell ref="AE550:AE555"/>
    <mergeCell ref="AG550:AG555"/>
    <mergeCell ref="AH550:AH555"/>
    <mergeCell ref="AF544:AF549"/>
    <mergeCell ref="AF550:AF555"/>
    <mergeCell ref="AF556:AF561"/>
    <mergeCell ref="AF562:AF567"/>
    <mergeCell ref="AB532:AB537"/>
    <mergeCell ref="AC532:AC537"/>
    <mergeCell ref="AD532:AD537"/>
    <mergeCell ref="AE532:AE537"/>
    <mergeCell ref="AG532:AG537"/>
    <mergeCell ref="AH532:AH537"/>
    <mergeCell ref="AB538:AB543"/>
    <mergeCell ref="AC538:AC543"/>
    <mergeCell ref="AD538:AD543"/>
    <mergeCell ref="AE538:AE543"/>
    <mergeCell ref="AG538:AG543"/>
    <mergeCell ref="AH538:AH543"/>
    <mergeCell ref="AB520:AB525"/>
    <mergeCell ref="AC520:AC525"/>
    <mergeCell ref="AD520:AD525"/>
    <mergeCell ref="AE520:AE525"/>
    <mergeCell ref="AG520:AG525"/>
    <mergeCell ref="AH520:AH525"/>
    <mergeCell ref="AB526:AB531"/>
    <mergeCell ref="AC526:AC531"/>
    <mergeCell ref="AD526:AD531"/>
    <mergeCell ref="AE526:AE531"/>
    <mergeCell ref="AG526:AG531"/>
    <mergeCell ref="AH526:AH531"/>
    <mergeCell ref="AF520:AF525"/>
    <mergeCell ref="AF526:AF531"/>
    <mergeCell ref="AF532:AF537"/>
    <mergeCell ref="AF538:AF543"/>
    <mergeCell ref="AB508:AB513"/>
    <mergeCell ref="AC508:AC513"/>
    <mergeCell ref="AD508:AD513"/>
    <mergeCell ref="AE508:AE513"/>
    <mergeCell ref="AG508:AG513"/>
    <mergeCell ref="AH508:AH513"/>
    <mergeCell ref="AB514:AB519"/>
    <mergeCell ref="AC514:AC519"/>
    <mergeCell ref="AD514:AD519"/>
    <mergeCell ref="AE514:AE519"/>
    <mergeCell ref="AG514:AG519"/>
    <mergeCell ref="AH514:AH519"/>
    <mergeCell ref="AB496:AB501"/>
    <mergeCell ref="AC496:AC501"/>
    <mergeCell ref="AD496:AD501"/>
    <mergeCell ref="AE496:AE501"/>
    <mergeCell ref="AG496:AG501"/>
    <mergeCell ref="AH496:AH501"/>
    <mergeCell ref="AB502:AB507"/>
    <mergeCell ref="AC502:AC507"/>
    <mergeCell ref="AD502:AD507"/>
    <mergeCell ref="AE502:AE507"/>
    <mergeCell ref="AG502:AG507"/>
    <mergeCell ref="AH502:AH507"/>
    <mergeCell ref="AF496:AF501"/>
    <mergeCell ref="AF502:AF507"/>
    <mergeCell ref="AF508:AF513"/>
    <mergeCell ref="AF514:AF519"/>
    <mergeCell ref="AB484:AB489"/>
    <mergeCell ref="AC484:AC489"/>
    <mergeCell ref="AD484:AD489"/>
    <mergeCell ref="AE484:AE489"/>
    <mergeCell ref="AG484:AG489"/>
    <mergeCell ref="AH484:AH489"/>
    <mergeCell ref="AB490:AB495"/>
    <mergeCell ref="AC490:AC495"/>
    <mergeCell ref="AD490:AD495"/>
    <mergeCell ref="AE490:AE495"/>
    <mergeCell ref="AG490:AG495"/>
    <mergeCell ref="AH490:AH495"/>
    <mergeCell ref="AB472:AB477"/>
    <mergeCell ref="AC472:AC477"/>
    <mergeCell ref="AD472:AD477"/>
    <mergeCell ref="AE472:AE477"/>
    <mergeCell ref="AG472:AG477"/>
    <mergeCell ref="AH472:AH477"/>
    <mergeCell ref="AB478:AB483"/>
    <mergeCell ref="AC478:AC483"/>
    <mergeCell ref="AD478:AD483"/>
    <mergeCell ref="AE478:AE483"/>
    <mergeCell ref="AG478:AG483"/>
    <mergeCell ref="AH478:AH483"/>
    <mergeCell ref="AF472:AF477"/>
    <mergeCell ref="AF478:AF483"/>
    <mergeCell ref="AF484:AF489"/>
    <mergeCell ref="AF490:AF495"/>
    <mergeCell ref="AB460:AB465"/>
    <mergeCell ref="AC460:AC465"/>
    <mergeCell ref="AD460:AD465"/>
    <mergeCell ref="AE460:AE465"/>
    <mergeCell ref="AG460:AG465"/>
    <mergeCell ref="AH460:AH465"/>
    <mergeCell ref="AB466:AB471"/>
    <mergeCell ref="AC466:AC471"/>
    <mergeCell ref="AD466:AD471"/>
    <mergeCell ref="AE466:AE471"/>
    <mergeCell ref="AG466:AG471"/>
    <mergeCell ref="AH466:AH471"/>
    <mergeCell ref="AB448:AB453"/>
    <mergeCell ref="AC448:AC453"/>
    <mergeCell ref="AD448:AD453"/>
    <mergeCell ref="AE448:AE453"/>
    <mergeCell ref="AG448:AG453"/>
    <mergeCell ref="AH448:AH453"/>
    <mergeCell ref="AB454:AB459"/>
    <mergeCell ref="AC454:AC459"/>
    <mergeCell ref="AD454:AD459"/>
    <mergeCell ref="AE454:AE459"/>
    <mergeCell ref="AG454:AG459"/>
    <mergeCell ref="AH454:AH459"/>
    <mergeCell ref="AF448:AF453"/>
    <mergeCell ref="AF454:AF459"/>
    <mergeCell ref="AF460:AF465"/>
    <mergeCell ref="AF466:AF471"/>
    <mergeCell ref="AB436:AB441"/>
    <mergeCell ref="AC436:AC441"/>
    <mergeCell ref="AD436:AD441"/>
    <mergeCell ref="AE436:AE441"/>
    <mergeCell ref="AG436:AG441"/>
    <mergeCell ref="AH436:AH441"/>
    <mergeCell ref="AB442:AB447"/>
    <mergeCell ref="AC442:AC447"/>
    <mergeCell ref="AD442:AD447"/>
    <mergeCell ref="AE442:AE447"/>
    <mergeCell ref="AG442:AG447"/>
    <mergeCell ref="AH442:AH447"/>
    <mergeCell ref="AB424:AB429"/>
    <mergeCell ref="AC424:AC429"/>
    <mergeCell ref="AD424:AD429"/>
    <mergeCell ref="AE424:AE429"/>
    <mergeCell ref="AG424:AG429"/>
    <mergeCell ref="AH424:AH429"/>
    <mergeCell ref="AB430:AB435"/>
    <mergeCell ref="AC430:AC435"/>
    <mergeCell ref="AD430:AD435"/>
    <mergeCell ref="AE430:AE435"/>
    <mergeCell ref="AG430:AG435"/>
    <mergeCell ref="AH430:AH435"/>
    <mergeCell ref="AF424:AF429"/>
    <mergeCell ref="AF430:AF435"/>
    <mergeCell ref="AF436:AF441"/>
    <mergeCell ref="AF442:AF447"/>
    <mergeCell ref="AB412:AB417"/>
    <mergeCell ref="AC412:AC417"/>
    <mergeCell ref="AD412:AD417"/>
    <mergeCell ref="AE412:AE417"/>
    <mergeCell ref="AG412:AG417"/>
    <mergeCell ref="AH412:AH417"/>
    <mergeCell ref="AB418:AB423"/>
    <mergeCell ref="AC418:AC423"/>
    <mergeCell ref="AD418:AD423"/>
    <mergeCell ref="AE418:AE423"/>
    <mergeCell ref="AG418:AG423"/>
    <mergeCell ref="AH418:AH423"/>
    <mergeCell ref="AB400:AB405"/>
    <mergeCell ref="AC400:AC405"/>
    <mergeCell ref="AD400:AD405"/>
    <mergeCell ref="AE400:AE405"/>
    <mergeCell ref="AG400:AG405"/>
    <mergeCell ref="AH400:AH405"/>
    <mergeCell ref="AB406:AB411"/>
    <mergeCell ref="AC406:AC411"/>
    <mergeCell ref="AD406:AD411"/>
    <mergeCell ref="AE406:AE411"/>
    <mergeCell ref="AG406:AG411"/>
    <mergeCell ref="AH406:AH411"/>
    <mergeCell ref="AF400:AF405"/>
    <mergeCell ref="AF406:AF411"/>
    <mergeCell ref="AF412:AF417"/>
    <mergeCell ref="AF418:AF423"/>
    <mergeCell ref="AB388:AB393"/>
    <mergeCell ref="AC388:AC393"/>
    <mergeCell ref="AD388:AD393"/>
    <mergeCell ref="AE388:AE393"/>
    <mergeCell ref="AG388:AG393"/>
    <mergeCell ref="AH388:AH393"/>
    <mergeCell ref="AB394:AB399"/>
    <mergeCell ref="AC394:AC399"/>
    <mergeCell ref="AD394:AD399"/>
    <mergeCell ref="AE394:AE399"/>
    <mergeCell ref="AG394:AG399"/>
    <mergeCell ref="AH394:AH399"/>
    <mergeCell ref="AB376:AB381"/>
    <mergeCell ref="AC376:AC381"/>
    <mergeCell ref="AD376:AD381"/>
    <mergeCell ref="AE376:AE381"/>
    <mergeCell ref="AG376:AG381"/>
    <mergeCell ref="AH376:AH381"/>
    <mergeCell ref="AB382:AB387"/>
    <mergeCell ref="AC382:AC387"/>
    <mergeCell ref="AD382:AD387"/>
    <mergeCell ref="AE382:AE387"/>
    <mergeCell ref="AG382:AG387"/>
    <mergeCell ref="AH382:AH387"/>
    <mergeCell ref="AF376:AF381"/>
    <mergeCell ref="AF382:AF387"/>
    <mergeCell ref="AF388:AF393"/>
    <mergeCell ref="AF394:AF399"/>
    <mergeCell ref="AB364:AB369"/>
    <mergeCell ref="AC364:AC369"/>
    <mergeCell ref="AD364:AD369"/>
    <mergeCell ref="AE364:AE369"/>
    <mergeCell ref="AG364:AG369"/>
    <mergeCell ref="AH364:AH369"/>
    <mergeCell ref="AB370:AB375"/>
    <mergeCell ref="AC370:AC375"/>
    <mergeCell ref="AD370:AD375"/>
    <mergeCell ref="AE370:AE375"/>
    <mergeCell ref="AG370:AG375"/>
    <mergeCell ref="AH370:AH375"/>
    <mergeCell ref="AB352:AB357"/>
    <mergeCell ref="AC352:AC357"/>
    <mergeCell ref="AD352:AD357"/>
    <mergeCell ref="AE352:AE357"/>
    <mergeCell ref="AG352:AG357"/>
    <mergeCell ref="AH352:AH357"/>
    <mergeCell ref="AB358:AB363"/>
    <mergeCell ref="AC358:AC363"/>
    <mergeCell ref="AD358:AD363"/>
    <mergeCell ref="AE358:AE363"/>
    <mergeCell ref="AG358:AG363"/>
    <mergeCell ref="AH358:AH363"/>
    <mergeCell ref="AF352:AF357"/>
    <mergeCell ref="AF358:AF363"/>
    <mergeCell ref="AF364:AF369"/>
    <mergeCell ref="AF370:AF375"/>
    <mergeCell ref="AB340:AB345"/>
    <mergeCell ref="AC340:AC345"/>
    <mergeCell ref="AD340:AD345"/>
    <mergeCell ref="AE340:AE345"/>
    <mergeCell ref="AG340:AG345"/>
    <mergeCell ref="AH340:AH345"/>
    <mergeCell ref="AB346:AB351"/>
    <mergeCell ref="AC346:AC351"/>
    <mergeCell ref="AD346:AD351"/>
    <mergeCell ref="AE346:AE351"/>
    <mergeCell ref="AG346:AG351"/>
    <mergeCell ref="AH346:AH351"/>
    <mergeCell ref="AB328:AB333"/>
    <mergeCell ref="AC328:AC333"/>
    <mergeCell ref="AD328:AD333"/>
    <mergeCell ref="AE328:AE333"/>
    <mergeCell ref="AG328:AG333"/>
    <mergeCell ref="AH328:AH333"/>
    <mergeCell ref="AB334:AB339"/>
    <mergeCell ref="AC334:AC339"/>
    <mergeCell ref="AD334:AD339"/>
    <mergeCell ref="AE334:AE339"/>
    <mergeCell ref="AG334:AG339"/>
    <mergeCell ref="AH334:AH339"/>
    <mergeCell ref="AF328:AF333"/>
    <mergeCell ref="AF334:AF339"/>
    <mergeCell ref="AF340:AF345"/>
    <mergeCell ref="AF346:AF351"/>
    <mergeCell ref="AB316:AB321"/>
    <mergeCell ref="AC316:AC321"/>
    <mergeCell ref="AD316:AD321"/>
    <mergeCell ref="AE316:AE321"/>
    <mergeCell ref="AG316:AG321"/>
    <mergeCell ref="AH316:AH321"/>
    <mergeCell ref="AB322:AB327"/>
    <mergeCell ref="AC322:AC327"/>
    <mergeCell ref="AD322:AD327"/>
    <mergeCell ref="AE322:AE327"/>
    <mergeCell ref="AG322:AG327"/>
    <mergeCell ref="AH322:AH327"/>
    <mergeCell ref="AB304:AB309"/>
    <mergeCell ref="AC304:AC309"/>
    <mergeCell ref="AD304:AD309"/>
    <mergeCell ref="AE304:AE309"/>
    <mergeCell ref="AG304:AG309"/>
    <mergeCell ref="AH304:AH309"/>
    <mergeCell ref="AB310:AB315"/>
    <mergeCell ref="AC310:AC315"/>
    <mergeCell ref="AD310:AD315"/>
    <mergeCell ref="AE310:AE315"/>
    <mergeCell ref="AG310:AG315"/>
    <mergeCell ref="AH310:AH315"/>
    <mergeCell ref="AF304:AF309"/>
    <mergeCell ref="AF310:AF315"/>
    <mergeCell ref="AF316:AF321"/>
    <mergeCell ref="AF322:AF327"/>
    <mergeCell ref="AB292:AB297"/>
    <mergeCell ref="AC292:AC297"/>
    <mergeCell ref="AD292:AD297"/>
    <mergeCell ref="AE292:AE297"/>
    <mergeCell ref="AG292:AG297"/>
    <mergeCell ref="AH292:AH297"/>
    <mergeCell ref="AB298:AB303"/>
    <mergeCell ref="AC298:AC303"/>
    <mergeCell ref="AD298:AD303"/>
    <mergeCell ref="AE298:AE303"/>
    <mergeCell ref="AG298:AG303"/>
    <mergeCell ref="AH298:AH303"/>
    <mergeCell ref="AB280:AB285"/>
    <mergeCell ref="AC280:AC285"/>
    <mergeCell ref="AD280:AD285"/>
    <mergeCell ref="AE280:AE285"/>
    <mergeCell ref="AG280:AG285"/>
    <mergeCell ref="AH280:AH285"/>
    <mergeCell ref="AB286:AB291"/>
    <mergeCell ref="AC286:AC291"/>
    <mergeCell ref="AD286:AD291"/>
    <mergeCell ref="AE286:AE291"/>
    <mergeCell ref="AG286:AG291"/>
    <mergeCell ref="AH286:AH291"/>
    <mergeCell ref="AF280:AF285"/>
    <mergeCell ref="AF286:AF291"/>
    <mergeCell ref="AF292:AF297"/>
    <mergeCell ref="AF298:AF303"/>
    <mergeCell ref="AB268:AB273"/>
    <mergeCell ref="AC268:AC273"/>
    <mergeCell ref="AD268:AD273"/>
    <mergeCell ref="AE268:AE273"/>
    <mergeCell ref="AG268:AG273"/>
    <mergeCell ref="AH268:AH273"/>
    <mergeCell ref="AB274:AB279"/>
    <mergeCell ref="AC274:AC279"/>
    <mergeCell ref="AD274:AD279"/>
    <mergeCell ref="AE274:AE279"/>
    <mergeCell ref="AG274:AG279"/>
    <mergeCell ref="AH274:AH279"/>
    <mergeCell ref="AB256:AB261"/>
    <mergeCell ref="AC256:AC261"/>
    <mergeCell ref="AD256:AD261"/>
    <mergeCell ref="AE256:AE261"/>
    <mergeCell ref="AG256:AG261"/>
    <mergeCell ref="AH256:AH261"/>
    <mergeCell ref="AB262:AB267"/>
    <mergeCell ref="AC262:AC267"/>
    <mergeCell ref="AD262:AD267"/>
    <mergeCell ref="AE262:AE267"/>
    <mergeCell ref="AG262:AG267"/>
    <mergeCell ref="AH262:AH267"/>
    <mergeCell ref="AF256:AF261"/>
    <mergeCell ref="AF262:AF267"/>
    <mergeCell ref="AF268:AF273"/>
    <mergeCell ref="AF274:AF279"/>
    <mergeCell ref="AB244:AB249"/>
    <mergeCell ref="AC244:AC249"/>
    <mergeCell ref="AD244:AD249"/>
    <mergeCell ref="AE244:AE249"/>
    <mergeCell ref="AG244:AG249"/>
    <mergeCell ref="AH244:AH249"/>
    <mergeCell ref="AB250:AB255"/>
    <mergeCell ref="AC250:AC255"/>
    <mergeCell ref="AD250:AD255"/>
    <mergeCell ref="AE250:AE255"/>
    <mergeCell ref="AG250:AG255"/>
    <mergeCell ref="AH250:AH255"/>
    <mergeCell ref="AB232:AB237"/>
    <mergeCell ref="AC232:AC237"/>
    <mergeCell ref="AD232:AD237"/>
    <mergeCell ref="AE232:AE237"/>
    <mergeCell ref="AG232:AG237"/>
    <mergeCell ref="AH232:AH237"/>
    <mergeCell ref="AB238:AB243"/>
    <mergeCell ref="AC238:AC243"/>
    <mergeCell ref="AD238:AD243"/>
    <mergeCell ref="AE238:AE243"/>
    <mergeCell ref="AG238:AG243"/>
    <mergeCell ref="AH238:AH243"/>
    <mergeCell ref="AF232:AF237"/>
    <mergeCell ref="AF238:AF243"/>
    <mergeCell ref="AF244:AF249"/>
    <mergeCell ref="AF250:AF255"/>
    <mergeCell ref="AB220:AB225"/>
    <mergeCell ref="AC220:AC225"/>
    <mergeCell ref="AD220:AD225"/>
    <mergeCell ref="AE220:AE225"/>
    <mergeCell ref="AG220:AG225"/>
    <mergeCell ref="AH220:AH225"/>
    <mergeCell ref="AB226:AB231"/>
    <mergeCell ref="AC226:AC231"/>
    <mergeCell ref="AD226:AD231"/>
    <mergeCell ref="AE226:AE231"/>
    <mergeCell ref="AG226:AG231"/>
    <mergeCell ref="AH226:AH231"/>
    <mergeCell ref="AB208:AB213"/>
    <mergeCell ref="AC208:AC213"/>
    <mergeCell ref="AD208:AD213"/>
    <mergeCell ref="AE208:AE213"/>
    <mergeCell ref="AG208:AG213"/>
    <mergeCell ref="AH208:AH213"/>
    <mergeCell ref="AB214:AB219"/>
    <mergeCell ref="AC214:AC219"/>
    <mergeCell ref="AD214:AD219"/>
    <mergeCell ref="AE214:AE219"/>
    <mergeCell ref="AG214:AG219"/>
    <mergeCell ref="AH214:AH219"/>
    <mergeCell ref="AF214:AF219"/>
    <mergeCell ref="AF220:AF225"/>
    <mergeCell ref="AF226:AF231"/>
    <mergeCell ref="AB196:AB201"/>
    <mergeCell ref="AC196:AC201"/>
    <mergeCell ref="AD196:AD201"/>
    <mergeCell ref="AB184:AB189"/>
    <mergeCell ref="AC184:AC189"/>
    <mergeCell ref="AB202:AB207"/>
    <mergeCell ref="AC202:AC207"/>
    <mergeCell ref="AD202:AD207"/>
    <mergeCell ref="AE202:AE207"/>
    <mergeCell ref="AG202:AG207"/>
    <mergeCell ref="AD184:AD189"/>
    <mergeCell ref="AE184:AE189"/>
    <mergeCell ref="AG184:AG189"/>
    <mergeCell ref="AH184:AH189"/>
    <mergeCell ref="AB190:AB195"/>
    <mergeCell ref="AC190:AC195"/>
    <mergeCell ref="AD190:AD195"/>
    <mergeCell ref="AE190:AE195"/>
    <mergeCell ref="AG190:AG195"/>
    <mergeCell ref="AH190:AH195"/>
    <mergeCell ref="AE196:AE201"/>
    <mergeCell ref="AG196:AG201"/>
    <mergeCell ref="AH196:AH201"/>
    <mergeCell ref="AH202:AH207"/>
    <mergeCell ref="AB172:AB177"/>
    <mergeCell ref="AC172:AC177"/>
    <mergeCell ref="AD172:AD177"/>
    <mergeCell ref="AE172:AE177"/>
    <mergeCell ref="AB160:AB165"/>
    <mergeCell ref="AC160:AC165"/>
    <mergeCell ref="AD160:AD165"/>
    <mergeCell ref="AG172:AG177"/>
    <mergeCell ref="AH172:AH177"/>
    <mergeCell ref="AB178:AB183"/>
    <mergeCell ref="AC178:AC183"/>
    <mergeCell ref="AD178:AD183"/>
    <mergeCell ref="AE178:AE183"/>
    <mergeCell ref="AG178:AG183"/>
    <mergeCell ref="AH178:AH183"/>
    <mergeCell ref="AE160:AE165"/>
    <mergeCell ref="AG160:AG165"/>
    <mergeCell ref="AH160:AH165"/>
    <mergeCell ref="AB166:AB171"/>
    <mergeCell ref="AC166:AC171"/>
    <mergeCell ref="AD166:AD171"/>
    <mergeCell ref="AE166:AE171"/>
    <mergeCell ref="AG166:AG171"/>
    <mergeCell ref="AH166:AH171"/>
    <mergeCell ref="AD100:AD105"/>
    <mergeCell ref="AE100:AE105"/>
    <mergeCell ref="AG100:AG105"/>
    <mergeCell ref="AG106:AG111"/>
    <mergeCell ref="AB148:AB153"/>
    <mergeCell ref="AC148:AC153"/>
    <mergeCell ref="AD148:AD153"/>
    <mergeCell ref="AE148:AE153"/>
    <mergeCell ref="AG148:AG153"/>
    <mergeCell ref="AH148:AH153"/>
    <mergeCell ref="AB154:AB159"/>
    <mergeCell ref="AC154:AC159"/>
    <mergeCell ref="AD154:AD159"/>
    <mergeCell ref="AE154:AE159"/>
    <mergeCell ref="AG154:AG159"/>
    <mergeCell ref="AH154:AH159"/>
    <mergeCell ref="AB136:AB141"/>
    <mergeCell ref="AC136:AC141"/>
    <mergeCell ref="AD136:AD141"/>
    <mergeCell ref="AE136:AE141"/>
    <mergeCell ref="AG136:AG141"/>
    <mergeCell ref="AH136:AH141"/>
    <mergeCell ref="AB142:AB147"/>
    <mergeCell ref="AC142:AC147"/>
    <mergeCell ref="AD142:AD147"/>
    <mergeCell ref="AE142:AE147"/>
    <mergeCell ref="AG142:AG147"/>
    <mergeCell ref="AH142:AH147"/>
    <mergeCell ref="AD124:AD129"/>
    <mergeCell ref="AE124:AE129"/>
    <mergeCell ref="AB112:AB117"/>
    <mergeCell ref="AC112:AC117"/>
    <mergeCell ref="AG124:AG129"/>
    <mergeCell ref="AH124:AH129"/>
    <mergeCell ref="AB130:AB135"/>
    <mergeCell ref="AC130:AC135"/>
    <mergeCell ref="AD130:AD135"/>
    <mergeCell ref="AE130:AE135"/>
    <mergeCell ref="AG130:AG135"/>
    <mergeCell ref="AH130:AH135"/>
    <mergeCell ref="AD112:AD117"/>
    <mergeCell ref="AE112:AE117"/>
    <mergeCell ref="AG112:AG117"/>
    <mergeCell ref="AH112:AH117"/>
    <mergeCell ref="AB118:AB123"/>
    <mergeCell ref="AC118:AC123"/>
    <mergeCell ref="AD118:AD123"/>
    <mergeCell ref="AE118:AE123"/>
    <mergeCell ref="AG118:AG123"/>
    <mergeCell ref="AH118:AH123"/>
    <mergeCell ref="AF112:AF117"/>
    <mergeCell ref="AF118:AF123"/>
    <mergeCell ref="AF124:AF129"/>
    <mergeCell ref="AF130:AF135"/>
    <mergeCell ref="AH106:AH111"/>
    <mergeCell ref="AF100:AF105"/>
    <mergeCell ref="AD70:AD75"/>
    <mergeCell ref="AE70:AE75"/>
    <mergeCell ref="AG70:AG75"/>
    <mergeCell ref="AH70:AH75"/>
    <mergeCell ref="AH82:AH87"/>
    <mergeCell ref="AF76:AF81"/>
    <mergeCell ref="AD88:AD93"/>
    <mergeCell ref="AE88:AE93"/>
    <mergeCell ref="AG88:AG93"/>
    <mergeCell ref="AH100:AH105"/>
    <mergeCell ref="AB106:AB111"/>
    <mergeCell ref="AC106:AC111"/>
    <mergeCell ref="AD106:AD111"/>
    <mergeCell ref="AE106:AE111"/>
    <mergeCell ref="AH88:AH93"/>
    <mergeCell ref="AB94:AB99"/>
    <mergeCell ref="AC94:AC99"/>
    <mergeCell ref="AD94:AD99"/>
    <mergeCell ref="AE94:AE99"/>
    <mergeCell ref="AG94:AG99"/>
    <mergeCell ref="AH94:AH99"/>
    <mergeCell ref="AB88:AB93"/>
    <mergeCell ref="AC88:AC93"/>
    <mergeCell ref="AF106:AF111"/>
    <mergeCell ref="AB76:AB81"/>
    <mergeCell ref="AC76:AC81"/>
    <mergeCell ref="AD76:AD81"/>
    <mergeCell ref="AE76:AE81"/>
    <mergeCell ref="AG76:AG81"/>
    <mergeCell ref="AH76:AH81"/>
    <mergeCell ref="AH64:AH69"/>
    <mergeCell ref="AB70:AB75"/>
    <mergeCell ref="AC70:AC75"/>
    <mergeCell ref="AB82:AB87"/>
    <mergeCell ref="AC82:AC87"/>
    <mergeCell ref="AD82:AD87"/>
    <mergeCell ref="AE82:AE87"/>
    <mergeCell ref="AG82:AG87"/>
    <mergeCell ref="AF70:AF75"/>
    <mergeCell ref="AB64:AB69"/>
    <mergeCell ref="AC64:AC69"/>
    <mergeCell ref="AD64:AD69"/>
    <mergeCell ref="AE64:AE69"/>
    <mergeCell ref="AG64:AG69"/>
    <mergeCell ref="AD52:AD57"/>
    <mergeCell ref="AE52:AE57"/>
    <mergeCell ref="AG52:AG57"/>
    <mergeCell ref="AH52:AH57"/>
    <mergeCell ref="AB58:AB63"/>
    <mergeCell ref="AC58:AC63"/>
    <mergeCell ref="AD58:AD63"/>
    <mergeCell ref="AE58:AE63"/>
    <mergeCell ref="AG58:AG63"/>
    <mergeCell ref="AH58:AH63"/>
    <mergeCell ref="AG46:AG51"/>
    <mergeCell ref="AH46:AH51"/>
    <mergeCell ref="AF2:AF3"/>
    <mergeCell ref="AH4:AH9"/>
    <mergeCell ref="AB4:AB9"/>
    <mergeCell ref="AB10:AB15"/>
    <mergeCell ref="AB16:AB21"/>
    <mergeCell ref="AB22:AB27"/>
    <mergeCell ref="AB28:AB33"/>
    <mergeCell ref="AG28:AG33"/>
    <mergeCell ref="AC22:AC27"/>
    <mergeCell ref="AD22:AD27"/>
    <mergeCell ref="AB34:AB39"/>
    <mergeCell ref="AH10:AH15"/>
    <mergeCell ref="AH16:AH21"/>
    <mergeCell ref="AH22:AH27"/>
    <mergeCell ref="AH28:AH33"/>
    <mergeCell ref="AH34:AH39"/>
    <mergeCell ref="AC28:AC33"/>
    <mergeCell ref="AD28:AD33"/>
    <mergeCell ref="AE28:AE33"/>
    <mergeCell ref="AC34:AC39"/>
    <mergeCell ref="AD34:AD39"/>
    <mergeCell ref="AE34:AE39"/>
    <mergeCell ref="AG34:AG39"/>
    <mergeCell ref="AC16:AC21"/>
    <mergeCell ref="AD16:AD21"/>
    <mergeCell ref="AE16:AE21"/>
    <mergeCell ref="AG16:AG21"/>
    <mergeCell ref="AE22:AE27"/>
    <mergeCell ref="AG22:AG27"/>
    <mergeCell ref="AH2:AH3"/>
    <mergeCell ref="AB1:AH1"/>
    <mergeCell ref="I22:I27"/>
    <mergeCell ref="I28:I33"/>
    <mergeCell ref="I34:I39"/>
    <mergeCell ref="I40:I45"/>
    <mergeCell ref="AG4:AG9"/>
    <mergeCell ref="AG10:AG15"/>
    <mergeCell ref="K2:K3"/>
    <mergeCell ref="M2:O2"/>
    <mergeCell ref="T2:Y2"/>
    <mergeCell ref="AB2:AB3"/>
    <mergeCell ref="AD2:AE2"/>
    <mergeCell ref="AG2:AG3"/>
    <mergeCell ref="K1:AA1"/>
    <mergeCell ref="R2:R3"/>
    <mergeCell ref="AC2:AC3"/>
    <mergeCell ref="P2:P3"/>
    <mergeCell ref="Q2:Q3"/>
    <mergeCell ref="S2:S3"/>
    <mergeCell ref="L2:L3"/>
    <mergeCell ref="AD40:AD45"/>
    <mergeCell ref="AE40:AE45"/>
    <mergeCell ref="AG40:AG45"/>
    <mergeCell ref="AH40:AH45"/>
    <mergeCell ref="I4:I9"/>
    <mergeCell ref="I10:I15"/>
    <mergeCell ref="I16:I21"/>
    <mergeCell ref="F4:F9"/>
    <mergeCell ref="H4:H9"/>
    <mergeCell ref="F10:F15"/>
    <mergeCell ref="H10:H15"/>
    <mergeCell ref="F16:F21"/>
    <mergeCell ref="F52:F57"/>
    <mergeCell ref="H52:H57"/>
    <mergeCell ref="AC4:AC9"/>
    <mergeCell ref="AD4:AD9"/>
    <mergeCell ref="AE4:AE9"/>
    <mergeCell ref="AC10:AC15"/>
    <mergeCell ref="AD10:AD15"/>
    <mergeCell ref="AE10:AE15"/>
    <mergeCell ref="AA4:AA9"/>
    <mergeCell ref="AA10:AA15"/>
    <mergeCell ref="AA16:AA21"/>
    <mergeCell ref="AA22:AA27"/>
    <mergeCell ref="AA28:AA33"/>
    <mergeCell ref="AA34:AA39"/>
    <mergeCell ref="AB46:AB51"/>
    <mergeCell ref="AC46:AC51"/>
    <mergeCell ref="AD46:AD51"/>
    <mergeCell ref="AE46:AE51"/>
    <mergeCell ref="B4:B9"/>
    <mergeCell ref="B10:B15"/>
    <mergeCell ref="B16:B21"/>
    <mergeCell ref="B22:B27"/>
    <mergeCell ref="H22:H27"/>
    <mergeCell ref="F28:F33"/>
    <mergeCell ref="H28:H33"/>
    <mergeCell ref="B28:B33"/>
    <mergeCell ref="F22:F27"/>
    <mergeCell ref="C28:C33"/>
    <mergeCell ref="F34:F39"/>
    <mergeCell ref="H34:H39"/>
    <mergeCell ref="F40:F45"/>
    <mergeCell ref="H40:H45"/>
    <mergeCell ref="G40:G45"/>
    <mergeCell ref="B40:B45"/>
    <mergeCell ref="B34:B39"/>
    <mergeCell ref="G34:G39"/>
    <mergeCell ref="C34:C39"/>
    <mergeCell ref="C40:C45"/>
    <mergeCell ref="D4:D9"/>
    <mergeCell ref="D10:D15"/>
    <mergeCell ref="D16:D21"/>
    <mergeCell ref="D22:D27"/>
    <mergeCell ref="D28:D33"/>
    <mergeCell ref="D34:D39"/>
    <mergeCell ref="D40:D45"/>
    <mergeCell ref="H16:H21"/>
    <mergeCell ref="C4:C9"/>
    <mergeCell ref="C10:C15"/>
    <mergeCell ref="C16:C21"/>
    <mergeCell ref="C22:C27"/>
    <mergeCell ref="B58:B63"/>
    <mergeCell ref="F58:F63"/>
    <mergeCell ref="H58:H63"/>
    <mergeCell ref="G46:G51"/>
    <mergeCell ref="G52:G57"/>
    <mergeCell ref="B46:B51"/>
    <mergeCell ref="B52:B57"/>
    <mergeCell ref="D46:D51"/>
    <mergeCell ref="D52:D57"/>
    <mergeCell ref="D58:D63"/>
    <mergeCell ref="I58:I63"/>
    <mergeCell ref="B64:B69"/>
    <mergeCell ref="F64:F69"/>
    <mergeCell ref="H64:H69"/>
    <mergeCell ref="I64:I69"/>
    <mergeCell ref="B70:B75"/>
    <mergeCell ref="F70:F75"/>
    <mergeCell ref="H70:H75"/>
    <mergeCell ref="I70:I75"/>
    <mergeCell ref="G58:G63"/>
    <mergeCell ref="F46:F51"/>
    <mergeCell ref="H46:H51"/>
    <mergeCell ref="D64:D69"/>
    <mergeCell ref="D70:D75"/>
    <mergeCell ref="C46:C51"/>
    <mergeCell ref="C52:C57"/>
    <mergeCell ref="C58:C63"/>
    <mergeCell ref="C70:C75"/>
    <mergeCell ref="I46:I51"/>
    <mergeCell ref="I52:I57"/>
    <mergeCell ref="B88:B93"/>
    <mergeCell ref="F88:F93"/>
    <mergeCell ref="H88:H93"/>
    <mergeCell ref="I88:I93"/>
    <mergeCell ref="B94:B99"/>
    <mergeCell ref="F94:F99"/>
    <mergeCell ref="H94:H99"/>
    <mergeCell ref="I94:I99"/>
    <mergeCell ref="B76:B81"/>
    <mergeCell ref="F76:F81"/>
    <mergeCell ref="H76:H81"/>
    <mergeCell ref="I76:I81"/>
    <mergeCell ref="B82:B87"/>
    <mergeCell ref="F82:F87"/>
    <mergeCell ref="H82:H87"/>
    <mergeCell ref="I82:I87"/>
    <mergeCell ref="E76:E81"/>
    <mergeCell ref="E82:E87"/>
    <mergeCell ref="D76:D81"/>
    <mergeCell ref="D82:D87"/>
    <mergeCell ref="D88:D93"/>
    <mergeCell ref="D94:D99"/>
    <mergeCell ref="E88:E93"/>
    <mergeCell ref="E94:E99"/>
    <mergeCell ref="C82:C87"/>
    <mergeCell ref="C88:C93"/>
    <mergeCell ref="C94:C99"/>
    <mergeCell ref="C76:C81"/>
    <mergeCell ref="B106:B111"/>
    <mergeCell ref="F106:F111"/>
    <mergeCell ref="H106:H111"/>
    <mergeCell ref="I106:I111"/>
    <mergeCell ref="G100:G105"/>
    <mergeCell ref="G106:G111"/>
    <mergeCell ref="D100:D105"/>
    <mergeCell ref="D106:D111"/>
    <mergeCell ref="B100:B105"/>
    <mergeCell ref="F100:F105"/>
    <mergeCell ref="B112:B117"/>
    <mergeCell ref="F112:F117"/>
    <mergeCell ref="H112:H117"/>
    <mergeCell ref="I112:I117"/>
    <mergeCell ref="B118:B123"/>
    <mergeCell ref="F118:F123"/>
    <mergeCell ref="H118:H123"/>
    <mergeCell ref="I118:I123"/>
    <mergeCell ref="G112:G117"/>
    <mergeCell ref="G118:G123"/>
    <mergeCell ref="D112:D117"/>
    <mergeCell ref="D118:D123"/>
    <mergeCell ref="H100:H105"/>
    <mergeCell ref="I100:I105"/>
    <mergeCell ref="E100:E105"/>
    <mergeCell ref="C100:C105"/>
    <mergeCell ref="B130:B135"/>
    <mergeCell ref="F130:F135"/>
    <mergeCell ref="H130:H135"/>
    <mergeCell ref="I130:I135"/>
    <mergeCell ref="B142:B147"/>
    <mergeCell ref="F142:F147"/>
    <mergeCell ref="H142:H147"/>
    <mergeCell ref="I142:I147"/>
    <mergeCell ref="G124:G129"/>
    <mergeCell ref="G130:G135"/>
    <mergeCell ref="B136:B141"/>
    <mergeCell ref="F136:F141"/>
    <mergeCell ref="H136:H141"/>
    <mergeCell ref="I136:I141"/>
    <mergeCell ref="G136:G141"/>
    <mergeCell ref="F124:F129"/>
    <mergeCell ref="H124:H129"/>
    <mergeCell ref="I124:I129"/>
    <mergeCell ref="G142:G147"/>
    <mergeCell ref="D124:D129"/>
    <mergeCell ref="D130:D135"/>
    <mergeCell ref="D136:D141"/>
    <mergeCell ref="D142:D147"/>
    <mergeCell ref="B124:B129"/>
    <mergeCell ref="E136:E141"/>
    <mergeCell ref="C142:C147"/>
    <mergeCell ref="E142:E147"/>
    <mergeCell ref="B154:B159"/>
    <mergeCell ref="F154:F159"/>
    <mergeCell ref="H154:H159"/>
    <mergeCell ref="I154:I159"/>
    <mergeCell ref="G148:G153"/>
    <mergeCell ref="G154:G159"/>
    <mergeCell ref="D148:D153"/>
    <mergeCell ref="D154:D159"/>
    <mergeCell ref="B160:B165"/>
    <mergeCell ref="F160:F165"/>
    <mergeCell ref="H160:H165"/>
    <mergeCell ref="I160:I165"/>
    <mergeCell ref="B166:B171"/>
    <mergeCell ref="F166:F171"/>
    <mergeCell ref="H166:H171"/>
    <mergeCell ref="I166:I171"/>
    <mergeCell ref="G160:G165"/>
    <mergeCell ref="G166:G171"/>
    <mergeCell ref="D160:D165"/>
    <mergeCell ref="D166:D171"/>
    <mergeCell ref="B148:B153"/>
    <mergeCell ref="F148:F153"/>
    <mergeCell ref="H148:H153"/>
    <mergeCell ref="I148:I153"/>
    <mergeCell ref="C148:C153"/>
    <mergeCell ref="C154:C159"/>
    <mergeCell ref="C160:C165"/>
    <mergeCell ref="C166:C171"/>
    <mergeCell ref="E148:E153"/>
    <mergeCell ref="E154:E159"/>
    <mergeCell ref="E160:E165"/>
    <mergeCell ref="E166:E171"/>
    <mergeCell ref="B178:B183"/>
    <mergeCell ref="F178:F183"/>
    <mergeCell ref="H178:H183"/>
    <mergeCell ref="I178:I183"/>
    <mergeCell ref="B190:B195"/>
    <mergeCell ref="F190:F195"/>
    <mergeCell ref="H190:H195"/>
    <mergeCell ref="I190:I195"/>
    <mergeCell ref="G172:G177"/>
    <mergeCell ref="G178:G183"/>
    <mergeCell ref="B184:B189"/>
    <mergeCell ref="F184:F189"/>
    <mergeCell ref="H184:H189"/>
    <mergeCell ref="I184:I189"/>
    <mergeCell ref="G184:G189"/>
    <mergeCell ref="F172:F177"/>
    <mergeCell ref="H172:H177"/>
    <mergeCell ref="I172:I177"/>
    <mergeCell ref="G190:G195"/>
    <mergeCell ref="D172:D177"/>
    <mergeCell ref="D178:D183"/>
    <mergeCell ref="D184:D189"/>
    <mergeCell ref="D190:D195"/>
    <mergeCell ref="B172:B177"/>
    <mergeCell ref="C178:C183"/>
    <mergeCell ref="C184:C189"/>
    <mergeCell ref="C190:C195"/>
    <mergeCell ref="C172:C177"/>
    <mergeCell ref="E172:E177"/>
    <mergeCell ref="B202:B207"/>
    <mergeCell ref="F202:F207"/>
    <mergeCell ref="H202:H207"/>
    <mergeCell ref="I202:I207"/>
    <mergeCell ref="G196:G201"/>
    <mergeCell ref="G202:G207"/>
    <mergeCell ref="D196:D201"/>
    <mergeCell ref="D202:D207"/>
    <mergeCell ref="B208:B213"/>
    <mergeCell ref="F208:F213"/>
    <mergeCell ref="H208:H213"/>
    <mergeCell ref="I208:I213"/>
    <mergeCell ref="B214:B219"/>
    <mergeCell ref="F214:F219"/>
    <mergeCell ref="H214:H219"/>
    <mergeCell ref="I214:I219"/>
    <mergeCell ref="G208:G213"/>
    <mergeCell ref="G214:G219"/>
    <mergeCell ref="D208:D213"/>
    <mergeCell ref="D214:D219"/>
    <mergeCell ref="B196:B201"/>
    <mergeCell ref="F196:F201"/>
    <mergeCell ref="H196:H201"/>
    <mergeCell ref="I196:I201"/>
    <mergeCell ref="E214:E219"/>
    <mergeCell ref="C214:C219"/>
    <mergeCell ref="C196:C201"/>
    <mergeCell ref="C202:C207"/>
    <mergeCell ref="C208:C213"/>
    <mergeCell ref="B226:B231"/>
    <mergeCell ref="F226:F231"/>
    <mergeCell ref="H226:H231"/>
    <mergeCell ref="I226:I231"/>
    <mergeCell ref="B238:B243"/>
    <mergeCell ref="F238:F243"/>
    <mergeCell ref="H238:H243"/>
    <mergeCell ref="I238:I243"/>
    <mergeCell ref="G220:G225"/>
    <mergeCell ref="G226:G231"/>
    <mergeCell ref="B232:B237"/>
    <mergeCell ref="F232:F237"/>
    <mergeCell ref="H232:H237"/>
    <mergeCell ref="I232:I237"/>
    <mergeCell ref="G232:G237"/>
    <mergeCell ref="F220:F225"/>
    <mergeCell ref="H220:H225"/>
    <mergeCell ref="I220:I225"/>
    <mergeCell ref="G238:G243"/>
    <mergeCell ref="D220:D225"/>
    <mergeCell ref="D226:D231"/>
    <mergeCell ref="D232:D237"/>
    <mergeCell ref="D238:D243"/>
    <mergeCell ref="B220:B225"/>
    <mergeCell ref="E220:E225"/>
    <mergeCell ref="E226:E231"/>
    <mergeCell ref="E232:E237"/>
    <mergeCell ref="E238:E243"/>
    <mergeCell ref="C220:C225"/>
    <mergeCell ref="C226:C231"/>
    <mergeCell ref="C232:C237"/>
    <mergeCell ref="C238:C243"/>
    <mergeCell ref="B250:B255"/>
    <mergeCell ref="F250:F255"/>
    <mergeCell ref="H250:H255"/>
    <mergeCell ref="I250:I255"/>
    <mergeCell ref="G244:G249"/>
    <mergeCell ref="G250:G255"/>
    <mergeCell ref="D244:D249"/>
    <mergeCell ref="D250:D255"/>
    <mergeCell ref="C250:C255"/>
    <mergeCell ref="E250:E255"/>
    <mergeCell ref="B256:B261"/>
    <mergeCell ref="F256:F261"/>
    <mergeCell ref="H256:H261"/>
    <mergeCell ref="I256:I261"/>
    <mergeCell ref="B262:B267"/>
    <mergeCell ref="F262:F267"/>
    <mergeCell ref="H262:H267"/>
    <mergeCell ref="I262:I267"/>
    <mergeCell ref="G256:G261"/>
    <mergeCell ref="G262:G267"/>
    <mergeCell ref="D256:D261"/>
    <mergeCell ref="D262:D267"/>
    <mergeCell ref="B244:B249"/>
    <mergeCell ref="F244:F249"/>
    <mergeCell ref="H244:H249"/>
    <mergeCell ref="I244:I249"/>
    <mergeCell ref="C256:C261"/>
    <mergeCell ref="C262:C267"/>
    <mergeCell ref="E256:E261"/>
    <mergeCell ref="E262:E267"/>
    <mergeCell ref="E244:E249"/>
    <mergeCell ref="C244:C249"/>
    <mergeCell ref="B274:B279"/>
    <mergeCell ref="F274:F279"/>
    <mergeCell ref="H274:H279"/>
    <mergeCell ref="I274:I279"/>
    <mergeCell ref="B286:B291"/>
    <mergeCell ref="F286:F291"/>
    <mergeCell ref="H286:H291"/>
    <mergeCell ref="I286:I291"/>
    <mergeCell ref="G268:G273"/>
    <mergeCell ref="G274:G279"/>
    <mergeCell ref="B280:B285"/>
    <mergeCell ref="F280:F285"/>
    <mergeCell ref="H280:H285"/>
    <mergeCell ref="I280:I285"/>
    <mergeCell ref="G280:G285"/>
    <mergeCell ref="F268:F273"/>
    <mergeCell ref="H268:H273"/>
    <mergeCell ref="I268:I273"/>
    <mergeCell ref="G286:G291"/>
    <mergeCell ref="D268:D273"/>
    <mergeCell ref="D274:D279"/>
    <mergeCell ref="D280:D285"/>
    <mergeCell ref="D286:D291"/>
    <mergeCell ref="B268:B273"/>
    <mergeCell ref="C268:C273"/>
    <mergeCell ref="C274:C279"/>
    <mergeCell ref="C280:C285"/>
    <mergeCell ref="C286:C291"/>
    <mergeCell ref="E268:E273"/>
    <mergeCell ref="E274:E279"/>
    <mergeCell ref="E280:E285"/>
    <mergeCell ref="E286:E291"/>
    <mergeCell ref="B298:B303"/>
    <mergeCell ref="F298:F303"/>
    <mergeCell ref="H298:H303"/>
    <mergeCell ref="I298:I303"/>
    <mergeCell ref="G292:G297"/>
    <mergeCell ref="G298:G303"/>
    <mergeCell ref="D292:D297"/>
    <mergeCell ref="D298:D303"/>
    <mergeCell ref="C292:C297"/>
    <mergeCell ref="C298:C303"/>
    <mergeCell ref="B304:B309"/>
    <mergeCell ref="F304:F309"/>
    <mergeCell ref="H304:H309"/>
    <mergeCell ref="I304:I309"/>
    <mergeCell ref="B310:B315"/>
    <mergeCell ref="F310:F315"/>
    <mergeCell ref="H310:H315"/>
    <mergeCell ref="I310:I315"/>
    <mergeCell ref="G304:G309"/>
    <mergeCell ref="G310:G315"/>
    <mergeCell ref="D304:D309"/>
    <mergeCell ref="D310:D315"/>
    <mergeCell ref="B292:B297"/>
    <mergeCell ref="F292:F297"/>
    <mergeCell ref="H292:H297"/>
    <mergeCell ref="I292:I297"/>
    <mergeCell ref="C304:C309"/>
    <mergeCell ref="C310:C315"/>
    <mergeCell ref="E292:E297"/>
    <mergeCell ref="E298:E303"/>
    <mergeCell ref="E304:E309"/>
    <mergeCell ref="E310:E315"/>
    <mergeCell ref="B322:B327"/>
    <mergeCell ref="F322:F327"/>
    <mergeCell ref="H322:H327"/>
    <mergeCell ref="I322:I327"/>
    <mergeCell ref="B334:B339"/>
    <mergeCell ref="F334:F339"/>
    <mergeCell ref="H334:H339"/>
    <mergeCell ref="I334:I339"/>
    <mergeCell ref="G316:G321"/>
    <mergeCell ref="G322:G327"/>
    <mergeCell ref="B328:B333"/>
    <mergeCell ref="F328:F333"/>
    <mergeCell ref="H328:H333"/>
    <mergeCell ref="I328:I333"/>
    <mergeCell ref="G328:G333"/>
    <mergeCell ref="F316:F321"/>
    <mergeCell ref="H316:H321"/>
    <mergeCell ref="I316:I321"/>
    <mergeCell ref="G334:G339"/>
    <mergeCell ref="D316:D321"/>
    <mergeCell ref="D322:D327"/>
    <mergeCell ref="D328:D333"/>
    <mergeCell ref="D334:D339"/>
    <mergeCell ref="B316:B321"/>
    <mergeCell ref="C316:C321"/>
    <mergeCell ref="C322:C327"/>
    <mergeCell ref="C328:C333"/>
    <mergeCell ref="C334:C339"/>
    <mergeCell ref="E316:E321"/>
    <mergeCell ref="E322:E327"/>
    <mergeCell ref="E328:E333"/>
    <mergeCell ref="E334:E339"/>
    <mergeCell ref="B346:B351"/>
    <mergeCell ref="F346:F351"/>
    <mergeCell ref="H346:H351"/>
    <mergeCell ref="I346:I351"/>
    <mergeCell ref="G340:G345"/>
    <mergeCell ref="G346:G351"/>
    <mergeCell ref="D340:D345"/>
    <mergeCell ref="D346:D351"/>
    <mergeCell ref="C340:C345"/>
    <mergeCell ref="C346:C351"/>
    <mergeCell ref="B352:B357"/>
    <mergeCell ref="F352:F357"/>
    <mergeCell ref="H352:H357"/>
    <mergeCell ref="I352:I357"/>
    <mergeCell ref="B358:B363"/>
    <mergeCell ref="F358:F363"/>
    <mergeCell ref="H358:H363"/>
    <mergeCell ref="I358:I363"/>
    <mergeCell ref="G352:G357"/>
    <mergeCell ref="G358:G363"/>
    <mergeCell ref="D352:D357"/>
    <mergeCell ref="D358:D363"/>
    <mergeCell ref="B340:B345"/>
    <mergeCell ref="F340:F345"/>
    <mergeCell ref="H340:H345"/>
    <mergeCell ref="I340:I345"/>
    <mergeCell ref="C352:C357"/>
    <mergeCell ref="C358:C363"/>
    <mergeCell ref="E340:E345"/>
    <mergeCell ref="E346:E351"/>
    <mergeCell ref="E352:E357"/>
    <mergeCell ref="E358:E363"/>
    <mergeCell ref="B370:B375"/>
    <mergeCell ref="F370:F375"/>
    <mergeCell ref="H370:H375"/>
    <mergeCell ref="I370:I375"/>
    <mergeCell ref="B382:B387"/>
    <mergeCell ref="F382:F387"/>
    <mergeCell ref="H382:H387"/>
    <mergeCell ref="I382:I387"/>
    <mergeCell ref="G364:G369"/>
    <mergeCell ref="G370:G375"/>
    <mergeCell ref="B376:B381"/>
    <mergeCell ref="F376:F381"/>
    <mergeCell ref="H376:H381"/>
    <mergeCell ref="I376:I381"/>
    <mergeCell ref="G376:G381"/>
    <mergeCell ref="F364:F369"/>
    <mergeCell ref="H364:H369"/>
    <mergeCell ref="I364:I369"/>
    <mergeCell ref="G382:G387"/>
    <mergeCell ref="D364:D369"/>
    <mergeCell ref="D370:D375"/>
    <mergeCell ref="D376:D381"/>
    <mergeCell ref="D382:D387"/>
    <mergeCell ref="B364:B369"/>
    <mergeCell ref="C364:C369"/>
    <mergeCell ref="C370:C375"/>
    <mergeCell ref="C376:C381"/>
    <mergeCell ref="C382:C387"/>
    <mergeCell ref="E364:E369"/>
    <mergeCell ref="E370:E375"/>
    <mergeCell ref="E376:E381"/>
    <mergeCell ref="E382:E387"/>
    <mergeCell ref="B394:B399"/>
    <mergeCell ref="F394:F399"/>
    <mergeCell ref="H394:H399"/>
    <mergeCell ref="I394:I399"/>
    <mergeCell ref="G388:G393"/>
    <mergeCell ref="G394:G399"/>
    <mergeCell ref="D388:D393"/>
    <mergeCell ref="D394:D399"/>
    <mergeCell ref="C388:C393"/>
    <mergeCell ref="C394:C399"/>
    <mergeCell ref="B400:B405"/>
    <mergeCell ref="F400:F405"/>
    <mergeCell ref="H400:H405"/>
    <mergeCell ref="I400:I405"/>
    <mergeCell ref="B406:B411"/>
    <mergeCell ref="F406:F411"/>
    <mergeCell ref="H406:H411"/>
    <mergeCell ref="I406:I411"/>
    <mergeCell ref="G400:G405"/>
    <mergeCell ref="G406:G411"/>
    <mergeCell ref="D400:D405"/>
    <mergeCell ref="D406:D411"/>
    <mergeCell ref="B388:B393"/>
    <mergeCell ref="F388:F393"/>
    <mergeCell ref="H388:H393"/>
    <mergeCell ref="I388:I393"/>
    <mergeCell ref="C400:C405"/>
    <mergeCell ref="C406:C411"/>
    <mergeCell ref="E400:E405"/>
    <mergeCell ref="E406:E411"/>
    <mergeCell ref="E388:E393"/>
    <mergeCell ref="E394:E399"/>
    <mergeCell ref="B418:B423"/>
    <mergeCell ref="F418:F423"/>
    <mergeCell ref="H418:H423"/>
    <mergeCell ref="I418:I423"/>
    <mergeCell ref="B430:B435"/>
    <mergeCell ref="F430:F435"/>
    <mergeCell ref="H430:H435"/>
    <mergeCell ref="I430:I435"/>
    <mergeCell ref="G412:G417"/>
    <mergeCell ref="G418:G423"/>
    <mergeCell ref="B424:B429"/>
    <mergeCell ref="F424:F429"/>
    <mergeCell ref="H424:H429"/>
    <mergeCell ref="I424:I429"/>
    <mergeCell ref="G424:G429"/>
    <mergeCell ref="F412:F417"/>
    <mergeCell ref="H412:H417"/>
    <mergeCell ref="I412:I417"/>
    <mergeCell ref="G430:G435"/>
    <mergeCell ref="D412:D417"/>
    <mergeCell ref="D418:D423"/>
    <mergeCell ref="D424:D429"/>
    <mergeCell ref="D430:D435"/>
    <mergeCell ref="B412:B417"/>
    <mergeCell ref="C412:C417"/>
    <mergeCell ref="C418:C423"/>
    <mergeCell ref="C424:C429"/>
    <mergeCell ref="C430:C435"/>
    <mergeCell ref="E412:E417"/>
    <mergeCell ref="E418:E423"/>
    <mergeCell ref="E424:E429"/>
    <mergeCell ref="E430:E435"/>
    <mergeCell ref="B442:B447"/>
    <mergeCell ref="F442:F447"/>
    <mergeCell ref="H442:H447"/>
    <mergeCell ref="I442:I447"/>
    <mergeCell ref="G436:G441"/>
    <mergeCell ref="G442:G447"/>
    <mergeCell ref="D436:D441"/>
    <mergeCell ref="D442:D447"/>
    <mergeCell ref="C436:C441"/>
    <mergeCell ref="C442:C447"/>
    <mergeCell ref="B448:B453"/>
    <mergeCell ref="F448:F453"/>
    <mergeCell ref="H448:H453"/>
    <mergeCell ref="I448:I453"/>
    <mergeCell ref="B454:B459"/>
    <mergeCell ref="F454:F459"/>
    <mergeCell ref="H454:H459"/>
    <mergeCell ref="I454:I459"/>
    <mergeCell ref="G448:G453"/>
    <mergeCell ref="G454:G459"/>
    <mergeCell ref="D448:D453"/>
    <mergeCell ref="D454:D459"/>
    <mergeCell ref="B436:B441"/>
    <mergeCell ref="F436:F441"/>
    <mergeCell ref="H436:H441"/>
    <mergeCell ref="I436:I441"/>
    <mergeCell ref="C448:C453"/>
    <mergeCell ref="C454:C459"/>
    <mergeCell ref="E436:E441"/>
    <mergeCell ref="E442:E447"/>
    <mergeCell ref="E448:E453"/>
    <mergeCell ref="E454:E459"/>
    <mergeCell ref="B466:B471"/>
    <mergeCell ref="F466:F471"/>
    <mergeCell ref="H466:H471"/>
    <mergeCell ref="I466:I471"/>
    <mergeCell ref="B478:B483"/>
    <mergeCell ref="F478:F483"/>
    <mergeCell ref="H478:H483"/>
    <mergeCell ref="I478:I483"/>
    <mergeCell ref="G460:G465"/>
    <mergeCell ref="G466:G471"/>
    <mergeCell ref="B472:B477"/>
    <mergeCell ref="F472:F477"/>
    <mergeCell ref="H472:H477"/>
    <mergeCell ref="I472:I477"/>
    <mergeCell ref="G472:G477"/>
    <mergeCell ref="F460:F465"/>
    <mergeCell ref="H460:H465"/>
    <mergeCell ref="I460:I465"/>
    <mergeCell ref="G478:G483"/>
    <mergeCell ref="D460:D465"/>
    <mergeCell ref="D466:D471"/>
    <mergeCell ref="D472:D477"/>
    <mergeCell ref="D478:D483"/>
    <mergeCell ref="B460:B465"/>
    <mergeCell ref="C460:C465"/>
    <mergeCell ref="C466:C471"/>
    <mergeCell ref="C472:C477"/>
    <mergeCell ref="C478:C483"/>
    <mergeCell ref="E472:E477"/>
    <mergeCell ref="E478:E483"/>
    <mergeCell ref="E460:E465"/>
    <mergeCell ref="E466:E471"/>
    <mergeCell ref="B490:B495"/>
    <mergeCell ref="F490:F495"/>
    <mergeCell ref="H490:H495"/>
    <mergeCell ref="I490:I495"/>
    <mergeCell ref="G484:G489"/>
    <mergeCell ref="G490:G495"/>
    <mergeCell ref="D484:D489"/>
    <mergeCell ref="D490:D495"/>
    <mergeCell ref="C484:C489"/>
    <mergeCell ref="C490:C495"/>
    <mergeCell ref="B496:B501"/>
    <mergeCell ref="F496:F501"/>
    <mergeCell ref="H496:H501"/>
    <mergeCell ref="I496:I501"/>
    <mergeCell ref="B502:B507"/>
    <mergeCell ref="F502:F507"/>
    <mergeCell ref="H502:H507"/>
    <mergeCell ref="I502:I507"/>
    <mergeCell ref="G496:G501"/>
    <mergeCell ref="G502:G507"/>
    <mergeCell ref="D496:D501"/>
    <mergeCell ref="D502:D507"/>
    <mergeCell ref="B484:B489"/>
    <mergeCell ref="F484:F489"/>
    <mergeCell ref="H484:H489"/>
    <mergeCell ref="I484:I489"/>
    <mergeCell ref="C496:C501"/>
    <mergeCell ref="C502:C507"/>
    <mergeCell ref="E484:E489"/>
    <mergeCell ref="E490:E495"/>
    <mergeCell ref="E496:E501"/>
    <mergeCell ref="E502:E507"/>
    <mergeCell ref="B514:B519"/>
    <mergeCell ref="F514:F519"/>
    <mergeCell ref="H514:H519"/>
    <mergeCell ref="I514:I519"/>
    <mergeCell ref="B526:B531"/>
    <mergeCell ref="F526:F531"/>
    <mergeCell ref="H526:H531"/>
    <mergeCell ref="I526:I531"/>
    <mergeCell ref="G508:G513"/>
    <mergeCell ref="G514:G519"/>
    <mergeCell ref="B520:B525"/>
    <mergeCell ref="F520:F525"/>
    <mergeCell ref="H520:H525"/>
    <mergeCell ref="I520:I525"/>
    <mergeCell ref="G520:G525"/>
    <mergeCell ref="F508:F513"/>
    <mergeCell ref="H508:H513"/>
    <mergeCell ref="I508:I513"/>
    <mergeCell ref="G526:G531"/>
    <mergeCell ref="D508:D513"/>
    <mergeCell ref="D514:D519"/>
    <mergeCell ref="D520:D525"/>
    <mergeCell ref="D526:D531"/>
    <mergeCell ref="B508:B513"/>
    <mergeCell ref="C508:C513"/>
    <mergeCell ref="C514:C519"/>
    <mergeCell ref="C520:C525"/>
    <mergeCell ref="C526:C531"/>
    <mergeCell ref="E508:E513"/>
    <mergeCell ref="E514:E519"/>
    <mergeCell ref="E520:E525"/>
    <mergeCell ref="E526:E531"/>
    <mergeCell ref="D568:D573"/>
    <mergeCell ref="D574:D579"/>
    <mergeCell ref="B556:B561"/>
    <mergeCell ref="F556:F561"/>
    <mergeCell ref="B538:B543"/>
    <mergeCell ref="F538:F543"/>
    <mergeCell ref="H538:H543"/>
    <mergeCell ref="I538:I543"/>
    <mergeCell ref="G532:G537"/>
    <mergeCell ref="G538:G543"/>
    <mergeCell ref="D532:D537"/>
    <mergeCell ref="D538:D543"/>
    <mergeCell ref="C532:C537"/>
    <mergeCell ref="C538:C543"/>
    <mergeCell ref="B544:B549"/>
    <mergeCell ref="F544:F549"/>
    <mergeCell ref="H544:H549"/>
    <mergeCell ref="I544:I549"/>
    <mergeCell ref="B550:B555"/>
    <mergeCell ref="F550:F555"/>
    <mergeCell ref="H550:H555"/>
    <mergeCell ref="I550:I555"/>
    <mergeCell ref="G544:G549"/>
    <mergeCell ref="G550:G555"/>
    <mergeCell ref="D544:D549"/>
    <mergeCell ref="D550:D555"/>
    <mergeCell ref="B532:B537"/>
    <mergeCell ref="F532:F537"/>
    <mergeCell ref="H532:H537"/>
    <mergeCell ref="I532:I537"/>
    <mergeCell ref="E532:E537"/>
    <mergeCell ref="E538:E543"/>
    <mergeCell ref="D580:D585"/>
    <mergeCell ref="D586:D591"/>
    <mergeCell ref="D592:D597"/>
    <mergeCell ref="D598:D603"/>
    <mergeCell ref="I592:I597"/>
    <mergeCell ref="E580:E585"/>
    <mergeCell ref="E586:E591"/>
    <mergeCell ref="E604:E609"/>
    <mergeCell ref="B562:B567"/>
    <mergeCell ref="F562:F567"/>
    <mergeCell ref="H562:H567"/>
    <mergeCell ref="I562:I567"/>
    <mergeCell ref="G556:G561"/>
    <mergeCell ref="G562:G567"/>
    <mergeCell ref="H556:H561"/>
    <mergeCell ref="I556:I561"/>
    <mergeCell ref="B568:B573"/>
    <mergeCell ref="F568:F573"/>
    <mergeCell ref="H568:H573"/>
    <mergeCell ref="I568:I573"/>
    <mergeCell ref="B574:B579"/>
    <mergeCell ref="F574:F579"/>
    <mergeCell ref="H574:H579"/>
    <mergeCell ref="I574:I579"/>
    <mergeCell ref="G568:G573"/>
    <mergeCell ref="G574:G579"/>
    <mergeCell ref="B580:B585"/>
    <mergeCell ref="F580:F585"/>
    <mergeCell ref="H580:H585"/>
    <mergeCell ref="I580:I585"/>
    <mergeCell ref="D556:D561"/>
    <mergeCell ref="D562:D567"/>
    <mergeCell ref="B586:B591"/>
    <mergeCell ref="F586:F591"/>
    <mergeCell ref="H586:H591"/>
    <mergeCell ref="I586:I591"/>
    <mergeCell ref="G586:G591"/>
    <mergeCell ref="B592:B597"/>
    <mergeCell ref="F592:F597"/>
    <mergeCell ref="H592:H597"/>
    <mergeCell ref="B598:B603"/>
    <mergeCell ref="F598:F603"/>
    <mergeCell ref="H598:H603"/>
    <mergeCell ref="I598:I603"/>
    <mergeCell ref="G592:G597"/>
    <mergeCell ref="G598:G603"/>
    <mergeCell ref="E592:E597"/>
    <mergeCell ref="E598:E603"/>
    <mergeCell ref="H604:H609"/>
    <mergeCell ref="I604:I609"/>
    <mergeCell ref="B610:B615"/>
    <mergeCell ref="F610:F615"/>
    <mergeCell ref="H610:H615"/>
    <mergeCell ref="I610:I615"/>
    <mergeCell ref="G604:G609"/>
    <mergeCell ref="G610:G615"/>
    <mergeCell ref="D604:D609"/>
    <mergeCell ref="D610:D615"/>
    <mergeCell ref="B604:B609"/>
    <mergeCell ref="F604:F609"/>
    <mergeCell ref="B616:B621"/>
    <mergeCell ref="F616:F621"/>
    <mergeCell ref="H616:H621"/>
    <mergeCell ref="I616:I621"/>
    <mergeCell ref="B622:B627"/>
    <mergeCell ref="F622:F627"/>
    <mergeCell ref="H622:H627"/>
    <mergeCell ref="I622:I627"/>
    <mergeCell ref="G616:G621"/>
    <mergeCell ref="G622:G627"/>
    <mergeCell ref="D616:D621"/>
    <mergeCell ref="D622:D627"/>
    <mergeCell ref="C616:C621"/>
    <mergeCell ref="C622:C627"/>
    <mergeCell ref="E610:E615"/>
    <mergeCell ref="E616:E621"/>
    <mergeCell ref="E622:E627"/>
    <mergeCell ref="G628:G633"/>
    <mergeCell ref="G634:G639"/>
    <mergeCell ref="H628:H633"/>
    <mergeCell ref="I628:I633"/>
    <mergeCell ref="B640:B645"/>
    <mergeCell ref="F640:F645"/>
    <mergeCell ref="H640:H645"/>
    <mergeCell ref="I640:I645"/>
    <mergeCell ref="B646:B651"/>
    <mergeCell ref="F646:F651"/>
    <mergeCell ref="H646:H651"/>
    <mergeCell ref="I646:I651"/>
    <mergeCell ref="G640:G645"/>
    <mergeCell ref="G646:G651"/>
    <mergeCell ref="D628:D633"/>
    <mergeCell ref="D634:D639"/>
    <mergeCell ref="D640:D645"/>
    <mergeCell ref="D646:D651"/>
    <mergeCell ref="B628:B633"/>
    <mergeCell ref="F628:F633"/>
    <mergeCell ref="C628:C633"/>
    <mergeCell ref="C634:C639"/>
    <mergeCell ref="C640:C645"/>
    <mergeCell ref="C646:C651"/>
    <mergeCell ref="E646:E651"/>
    <mergeCell ref="E628:E633"/>
    <mergeCell ref="E634:E639"/>
    <mergeCell ref="E640:E645"/>
    <mergeCell ref="D652:D657"/>
    <mergeCell ref="D658:D663"/>
    <mergeCell ref="D664:D669"/>
    <mergeCell ref="D670:D675"/>
    <mergeCell ref="I664:I669"/>
    <mergeCell ref="B652:B657"/>
    <mergeCell ref="F652:F657"/>
    <mergeCell ref="H652:H657"/>
    <mergeCell ref="I652:I657"/>
    <mergeCell ref="E652:E657"/>
    <mergeCell ref="E658:E663"/>
    <mergeCell ref="E664:E669"/>
    <mergeCell ref="E670:E675"/>
    <mergeCell ref="E676:E681"/>
    <mergeCell ref="B634:B639"/>
    <mergeCell ref="F634:F639"/>
    <mergeCell ref="H634:H639"/>
    <mergeCell ref="I634:I639"/>
    <mergeCell ref="F706:F711"/>
    <mergeCell ref="H706:H711"/>
    <mergeCell ref="I706:I711"/>
    <mergeCell ref="G700:G705"/>
    <mergeCell ref="G706:G711"/>
    <mergeCell ref="H724:H729"/>
    <mergeCell ref="B658:B663"/>
    <mergeCell ref="F658:F663"/>
    <mergeCell ref="H658:H663"/>
    <mergeCell ref="I658:I663"/>
    <mergeCell ref="G658:G663"/>
    <mergeCell ref="B664:B669"/>
    <mergeCell ref="F664:F669"/>
    <mergeCell ref="H664:H669"/>
    <mergeCell ref="B670:B675"/>
    <mergeCell ref="F670:F675"/>
    <mergeCell ref="H670:H675"/>
    <mergeCell ref="I670:I675"/>
    <mergeCell ref="G664:G669"/>
    <mergeCell ref="G670:G675"/>
    <mergeCell ref="H676:H681"/>
    <mergeCell ref="I676:I681"/>
    <mergeCell ref="B682:B687"/>
    <mergeCell ref="F682:F687"/>
    <mergeCell ref="H682:H687"/>
    <mergeCell ref="I682:I687"/>
    <mergeCell ref="G676:G681"/>
    <mergeCell ref="G682:G687"/>
    <mergeCell ref="D676:D681"/>
    <mergeCell ref="D682:D687"/>
    <mergeCell ref="B676:B681"/>
    <mergeCell ref="F676:F681"/>
    <mergeCell ref="B688:B693"/>
    <mergeCell ref="F688:F693"/>
    <mergeCell ref="H688:H693"/>
    <mergeCell ref="I688:I693"/>
    <mergeCell ref="B694:B699"/>
    <mergeCell ref="F694:F699"/>
    <mergeCell ref="H694:H699"/>
    <mergeCell ref="I694:I699"/>
    <mergeCell ref="G688:G693"/>
    <mergeCell ref="G694:G699"/>
    <mergeCell ref="D688:D693"/>
    <mergeCell ref="D694:D699"/>
    <mergeCell ref="I724:I729"/>
    <mergeCell ref="F700:F705"/>
    <mergeCell ref="H700:H705"/>
    <mergeCell ref="I700:I705"/>
    <mergeCell ref="B730:B735"/>
    <mergeCell ref="F730:F735"/>
    <mergeCell ref="H730:H735"/>
    <mergeCell ref="I730:I735"/>
    <mergeCell ref="G724:G729"/>
    <mergeCell ref="G730:G735"/>
    <mergeCell ref="B724:B729"/>
    <mergeCell ref="F724:F729"/>
    <mergeCell ref="C724:C729"/>
    <mergeCell ref="C730:C735"/>
    <mergeCell ref="B712:B717"/>
    <mergeCell ref="F712:F717"/>
    <mergeCell ref="H712:H717"/>
    <mergeCell ref="I712:I717"/>
    <mergeCell ref="B718:B723"/>
    <mergeCell ref="F718:F723"/>
    <mergeCell ref="H718:H723"/>
    <mergeCell ref="I718:I723"/>
    <mergeCell ref="G712:G717"/>
    <mergeCell ref="G718:G723"/>
    <mergeCell ref="D700:D705"/>
    <mergeCell ref="D706:D711"/>
    <mergeCell ref="B700:B705"/>
    <mergeCell ref="B706:B711"/>
    <mergeCell ref="D712:D717"/>
    <mergeCell ref="D718:D723"/>
    <mergeCell ref="D724:D729"/>
    <mergeCell ref="D730:D735"/>
    <mergeCell ref="H748:H753"/>
    <mergeCell ref="I748:I753"/>
    <mergeCell ref="H772:H777"/>
    <mergeCell ref="I772:I777"/>
    <mergeCell ref="F748:F753"/>
    <mergeCell ref="E754:E759"/>
    <mergeCell ref="B754:B759"/>
    <mergeCell ref="F754:F759"/>
    <mergeCell ref="H754:H759"/>
    <mergeCell ref="I754:I759"/>
    <mergeCell ref="G748:G753"/>
    <mergeCell ref="G754:G759"/>
    <mergeCell ref="D748:D753"/>
    <mergeCell ref="D754:D759"/>
    <mergeCell ref="B748:B753"/>
    <mergeCell ref="H736:H741"/>
    <mergeCell ref="I736:I741"/>
    <mergeCell ref="B742:B747"/>
    <mergeCell ref="F742:F747"/>
    <mergeCell ref="H742:H747"/>
    <mergeCell ref="I742:I747"/>
    <mergeCell ref="G736:G741"/>
    <mergeCell ref="G742:G747"/>
    <mergeCell ref="D736:D741"/>
    <mergeCell ref="D742:D747"/>
    <mergeCell ref="B736:B741"/>
    <mergeCell ref="F736:F741"/>
    <mergeCell ref="B778:B783"/>
    <mergeCell ref="F778:F783"/>
    <mergeCell ref="H778:H783"/>
    <mergeCell ref="I778:I783"/>
    <mergeCell ref="G772:G777"/>
    <mergeCell ref="G778:G783"/>
    <mergeCell ref="B760:B765"/>
    <mergeCell ref="F760:F765"/>
    <mergeCell ref="H760:H765"/>
    <mergeCell ref="I760:I765"/>
    <mergeCell ref="B766:B771"/>
    <mergeCell ref="F766:F771"/>
    <mergeCell ref="H766:H771"/>
    <mergeCell ref="I766:I771"/>
    <mergeCell ref="G760:G765"/>
    <mergeCell ref="G766:G771"/>
    <mergeCell ref="D760:D765"/>
    <mergeCell ref="D766:D771"/>
    <mergeCell ref="D772:D777"/>
    <mergeCell ref="D778:D783"/>
    <mergeCell ref="C772:C777"/>
    <mergeCell ref="C778:C783"/>
    <mergeCell ref="H796:H801"/>
    <mergeCell ref="I796:I801"/>
    <mergeCell ref="B802:B807"/>
    <mergeCell ref="F802:F807"/>
    <mergeCell ref="H802:H807"/>
    <mergeCell ref="I802:I807"/>
    <mergeCell ref="G796:G801"/>
    <mergeCell ref="G802:G807"/>
    <mergeCell ref="D796:D801"/>
    <mergeCell ref="D802:D807"/>
    <mergeCell ref="H784:H789"/>
    <mergeCell ref="I784:I789"/>
    <mergeCell ref="B790:B795"/>
    <mergeCell ref="F790:F795"/>
    <mergeCell ref="H790:H795"/>
    <mergeCell ref="I790:I795"/>
    <mergeCell ref="G784:G789"/>
    <mergeCell ref="G790:G795"/>
    <mergeCell ref="D784:D789"/>
    <mergeCell ref="D790:D795"/>
    <mergeCell ref="B784:B789"/>
    <mergeCell ref="F784:F789"/>
    <mergeCell ref="F820:F825"/>
    <mergeCell ref="E832:E837"/>
    <mergeCell ref="B826:B831"/>
    <mergeCell ref="F826:F831"/>
    <mergeCell ref="H826:H831"/>
    <mergeCell ref="I826:I831"/>
    <mergeCell ref="G820:G825"/>
    <mergeCell ref="G826:G831"/>
    <mergeCell ref="D820:D825"/>
    <mergeCell ref="D826:D831"/>
    <mergeCell ref="B820:B825"/>
    <mergeCell ref="C820:C825"/>
    <mergeCell ref="H808:H813"/>
    <mergeCell ref="I808:I813"/>
    <mergeCell ref="B814:B819"/>
    <mergeCell ref="F814:F819"/>
    <mergeCell ref="H814:H819"/>
    <mergeCell ref="I814:I819"/>
    <mergeCell ref="G808:G813"/>
    <mergeCell ref="G814:G819"/>
    <mergeCell ref="D808:D813"/>
    <mergeCell ref="D814:D819"/>
    <mergeCell ref="B808:B813"/>
    <mergeCell ref="F808:F813"/>
    <mergeCell ref="B850:B855"/>
    <mergeCell ref="F850:F855"/>
    <mergeCell ref="H850:H855"/>
    <mergeCell ref="I850:I855"/>
    <mergeCell ref="G844:G849"/>
    <mergeCell ref="G850:G855"/>
    <mergeCell ref="B832:B837"/>
    <mergeCell ref="F832:F837"/>
    <mergeCell ref="H832:H837"/>
    <mergeCell ref="I832:I837"/>
    <mergeCell ref="B838:B843"/>
    <mergeCell ref="F838:F843"/>
    <mergeCell ref="H838:H843"/>
    <mergeCell ref="I838:I843"/>
    <mergeCell ref="G832:G837"/>
    <mergeCell ref="G838:G843"/>
    <mergeCell ref="D832:D837"/>
    <mergeCell ref="D838:D843"/>
    <mergeCell ref="D844:D849"/>
    <mergeCell ref="D850:D855"/>
    <mergeCell ref="H844:H849"/>
    <mergeCell ref="I844:I849"/>
    <mergeCell ref="H916:H921"/>
    <mergeCell ref="I916:I921"/>
    <mergeCell ref="G4:G9"/>
    <mergeCell ref="G10:G15"/>
    <mergeCell ref="G16:G21"/>
    <mergeCell ref="G22:G27"/>
    <mergeCell ref="G28:G33"/>
    <mergeCell ref="B904:B909"/>
    <mergeCell ref="F904:F909"/>
    <mergeCell ref="H904:H909"/>
    <mergeCell ref="I904:I909"/>
    <mergeCell ref="B910:B915"/>
    <mergeCell ref="F910:F915"/>
    <mergeCell ref="H910:H915"/>
    <mergeCell ref="I910:I915"/>
    <mergeCell ref="G904:G909"/>
    <mergeCell ref="D904:D909"/>
    <mergeCell ref="H868:H873"/>
    <mergeCell ref="I868:I873"/>
    <mergeCell ref="B874:B879"/>
    <mergeCell ref="F874:F879"/>
    <mergeCell ref="H874:H879"/>
    <mergeCell ref="I874:I879"/>
    <mergeCell ref="G868:G873"/>
    <mergeCell ref="G874:G879"/>
    <mergeCell ref="D868:D873"/>
    <mergeCell ref="D874:D879"/>
    <mergeCell ref="H856:H861"/>
    <mergeCell ref="I856:I861"/>
    <mergeCell ref="B862:B867"/>
    <mergeCell ref="F862:F867"/>
    <mergeCell ref="H862:H867"/>
    <mergeCell ref="I898:I903"/>
    <mergeCell ref="G892:G897"/>
    <mergeCell ref="G898:G903"/>
    <mergeCell ref="B880:B885"/>
    <mergeCell ref="F880:F885"/>
    <mergeCell ref="H880:H885"/>
    <mergeCell ref="I880:I885"/>
    <mergeCell ref="B886:B891"/>
    <mergeCell ref="F886:F891"/>
    <mergeCell ref="H886:H891"/>
    <mergeCell ref="I886:I891"/>
    <mergeCell ref="G880:G885"/>
    <mergeCell ref="G886:G891"/>
    <mergeCell ref="I862:I867"/>
    <mergeCell ref="G856:G861"/>
    <mergeCell ref="G862:G867"/>
    <mergeCell ref="AA142:AA147"/>
    <mergeCell ref="H898:H903"/>
    <mergeCell ref="B892:B897"/>
    <mergeCell ref="F892:F897"/>
    <mergeCell ref="H892:H897"/>
    <mergeCell ref="I892:I897"/>
    <mergeCell ref="B898:B903"/>
    <mergeCell ref="F898:F903"/>
    <mergeCell ref="AA214:AA219"/>
    <mergeCell ref="AA220:AA225"/>
    <mergeCell ref="AA226:AA231"/>
    <mergeCell ref="AA232:AA237"/>
    <mergeCell ref="AA238:AA243"/>
    <mergeCell ref="AA244:AA249"/>
    <mergeCell ref="AA346:AA351"/>
    <mergeCell ref="AA316:AA321"/>
    <mergeCell ref="G916:G921"/>
    <mergeCell ref="G64:G69"/>
    <mergeCell ref="G70:G75"/>
    <mergeCell ref="G76:G81"/>
    <mergeCell ref="G82:G87"/>
    <mergeCell ref="G88:G93"/>
    <mergeCell ref="G94:G99"/>
    <mergeCell ref="G910:G915"/>
    <mergeCell ref="G652:G657"/>
    <mergeCell ref="G580:G585"/>
    <mergeCell ref="B916:B921"/>
    <mergeCell ref="F916:F921"/>
    <mergeCell ref="B868:B873"/>
    <mergeCell ref="F868:F873"/>
    <mergeCell ref="B844:B849"/>
    <mergeCell ref="F844:F849"/>
    <mergeCell ref="B856:B861"/>
    <mergeCell ref="F856:F861"/>
    <mergeCell ref="D916:D921"/>
    <mergeCell ref="D898:D903"/>
    <mergeCell ref="B796:B801"/>
    <mergeCell ref="F796:F801"/>
    <mergeCell ref="B772:B777"/>
    <mergeCell ref="F772:F777"/>
    <mergeCell ref="D910:D915"/>
    <mergeCell ref="C106:C111"/>
    <mergeCell ref="C112:C117"/>
    <mergeCell ref="C118:C123"/>
    <mergeCell ref="C124:C129"/>
    <mergeCell ref="C130:C135"/>
    <mergeCell ref="C136:C141"/>
    <mergeCell ref="C64:C69"/>
    <mergeCell ref="D880:D885"/>
    <mergeCell ref="D886:D891"/>
    <mergeCell ref="D892:D897"/>
    <mergeCell ref="AA178:AA183"/>
    <mergeCell ref="AA184:AA189"/>
    <mergeCell ref="AA190:AA195"/>
    <mergeCell ref="AA196:AA201"/>
    <mergeCell ref="AA58:AA63"/>
    <mergeCell ref="AA64:AA69"/>
    <mergeCell ref="AA70:AA75"/>
    <mergeCell ref="AA76:AA81"/>
    <mergeCell ref="AA82:AA87"/>
    <mergeCell ref="AA88:AA93"/>
    <mergeCell ref="AA94:AA99"/>
    <mergeCell ref="AA100:AA105"/>
    <mergeCell ref="AA106:AA111"/>
    <mergeCell ref="AA112:AA117"/>
    <mergeCell ref="AA118:AA123"/>
    <mergeCell ref="AA124:AA129"/>
    <mergeCell ref="AA148:AA153"/>
    <mergeCell ref="AA154:AA159"/>
    <mergeCell ref="AA160:AA165"/>
    <mergeCell ref="AA166:AA171"/>
    <mergeCell ref="AA172:AA177"/>
    <mergeCell ref="AA286:AA291"/>
    <mergeCell ref="AA250:AA255"/>
    <mergeCell ref="AA256:AA261"/>
    <mergeCell ref="AA262:AA267"/>
    <mergeCell ref="D856:D861"/>
    <mergeCell ref="D862:D867"/>
    <mergeCell ref="H820:H825"/>
    <mergeCell ref="I820:I825"/>
    <mergeCell ref="AA268:AA273"/>
    <mergeCell ref="AA202:AA207"/>
    <mergeCell ref="AA208:AA213"/>
    <mergeCell ref="AA322:AA327"/>
    <mergeCell ref="AA328:AA333"/>
    <mergeCell ref="AA334:AA339"/>
    <mergeCell ref="AA340:AA345"/>
    <mergeCell ref="AA292:AA297"/>
    <mergeCell ref="AA298:AA303"/>
    <mergeCell ref="AA304:AA309"/>
    <mergeCell ref="AA310:AA315"/>
    <mergeCell ref="AA352:AA357"/>
    <mergeCell ref="AA358:AA363"/>
    <mergeCell ref="AA364:AA369"/>
    <mergeCell ref="AA370:AA375"/>
    <mergeCell ref="AA376:AA381"/>
    <mergeCell ref="AA448:AA453"/>
    <mergeCell ref="AA382:AA387"/>
    <mergeCell ref="AA388:AA393"/>
    <mergeCell ref="AA394:AA399"/>
    <mergeCell ref="AA400:AA405"/>
    <mergeCell ref="AA406:AA411"/>
    <mergeCell ref="AA412:AA417"/>
    <mergeCell ref="AA280:AA285"/>
    <mergeCell ref="AA418:AA423"/>
    <mergeCell ref="AA424:AA429"/>
    <mergeCell ref="AA430:AA435"/>
    <mergeCell ref="AA436:AA441"/>
    <mergeCell ref="AA442:AA447"/>
    <mergeCell ref="AA274:AA279"/>
    <mergeCell ref="AA652:AA657"/>
    <mergeCell ref="AA454:AA459"/>
    <mergeCell ref="AA460:AA465"/>
    <mergeCell ref="AA466:AA471"/>
    <mergeCell ref="AA472:AA477"/>
    <mergeCell ref="AA478:AA483"/>
    <mergeCell ref="AA484:AA489"/>
    <mergeCell ref="AA490:AA495"/>
    <mergeCell ref="AA496:AA501"/>
    <mergeCell ref="AA502:AA507"/>
    <mergeCell ref="AA508:AA513"/>
    <mergeCell ref="AA514:AA519"/>
    <mergeCell ref="AA520:AA525"/>
    <mergeCell ref="AA526:AA531"/>
    <mergeCell ref="AA532:AA537"/>
    <mergeCell ref="AA538:AA543"/>
    <mergeCell ref="AA544:AA549"/>
    <mergeCell ref="AA550:AA555"/>
    <mergeCell ref="AA556:AA561"/>
    <mergeCell ref="AA760:AA765"/>
    <mergeCell ref="AA766:AA771"/>
    <mergeCell ref="AA772:AA777"/>
    <mergeCell ref="AA778:AA783"/>
    <mergeCell ref="AA784:AA789"/>
    <mergeCell ref="AA814:AA819"/>
    <mergeCell ref="AA820:AA825"/>
    <mergeCell ref="AA826:AA831"/>
    <mergeCell ref="AA832:AA837"/>
    <mergeCell ref="AA838:AA843"/>
    <mergeCell ref="AA844:AA849"/>
    <mergeCell ref="AA850:AA855"/>
    <mergeCell ref="AA856:AA861"/>
    <mergeCell ref="AA658:AA663"/>
    <mergeCell ref="AA664:AA669"/>
    <mergeCell ref="AA670:AA675"/>
    <mergeCell ref="AA676:AA681"/>
    <mergeCell ref="AA682:AA687"/>
    <mergeCell ref="AA688:AA693"/>
    <mergeCell ref="AA694:AA699"/>
    <mergeCell ref="AA700:AA705"/>
    <mergeCell ref="AA706:AA711"/>
    <mergeCell ref="AA712:AA717"/>
    <mergeCell ref="AA718:AA723"/>
    <mergeCell ref="AA724:AA729"/>
    <mergeCell ref="AA730:AA735"/>
    <mergeCell ref="AA736:AA741"/>
    <mergeCell ref="AA742:AA747"/>
    <mergeCell ref="AA748:AA753"/>
    <mergeCell ref="AA754:AA759"/>
    <mergeCell ref="AA862:AA867"/>
    <mergeCell ref="AA790:AA795"/>
    <mergeCell ref="AA796:AA801"/>
    <mergeCell ref="AA802:AA807"/>
    <mergeCell ref="AA808:AA813"/>
    <mergeCell ref="AF184:AF189"/>
    <mergeCell ref="AF190:AF195"/>
    <mergeCell ref="AA868:AA873"/>
    <mergeCell ref="AA874:AA879"/>
    <mergeCell ref="AA880:AA885"/>
    <mergeCell ref="AA886:AA891"/>
    <mergeCell ref="AA892:AA897"/>
    <mergeCell ref="AA898:AA903"/>
    <mergeCell ref="AA904:AA909"/>
    <mergeCell ref="AA910:AA915"/>
    <mergeCell ref="AA916:AA921"/>
    <mergeCell ref="Z2:AA3"/>
    <mergeCell ref="AA562:AA567"/>
    <mergeCell ref="AA568:AA573"/>
    <mergeCell ref="AA574:AA579"/>
    <mergeCell ref="AA580:AA585"/>
    <mergeCell ref="AA586:AA591"/>
    <mergeCell ref="AA592:AA597"/>
    <mergeCell ref="AA598:AA603"/>
    <mergeCell ref="AA604:AA609"/>
    <mergeCell ref="AA610:AA615"/>
    <mergeCell ref="AA616:AA621"/>
    <mergeCell ref="AA622:AA627"/>
    <mergeCell ref="AA628:AA633"/>
    <mergeCell ref="AA634:AA639"/>
    <mergeCell ref="AA640:AA645"/>
    <mergeCell ref="AA646:AA651"/>
    <mergeCell ref="AF136:AF141"/>
    <mergeCell ref="AF196:AF201"/>
    <mergeCell ref="AF202:AF207"/>
    <mergeCell ref="AF208:AF213"/>
    <mergeCell ref="AF142:AF147"/>
    <mergeCell ref="AF148:AF153"/>
    <mergeCell ref="AF154:AF159"/>
    <mergeCell ref="AF160:AF165"/>
    <mergeCell ref="AF166:AF171"/>
    <mergeCell ref="AF172:AF177"/>
    <mergeCell ref="AF4:AF9"/>
    <mergeCell ref="AF10:AF15"/>
    <mergeCell ref="AF16:AF21"/>
    <mergeCell ref="AF22:AF27"/>
    <mergeCell ref="AF28:AF33"/>
    <mergeCell ref="AF178:AF183"/>
    <mergeCell ref="AF34:AF39"/>
    <mergeCell ref="AF40:AF45"/>
    <mergeCell ref="AF46:AF51"/>
    <mergeCell ref="AF52:AF57"/>
    <mergeCell ref="AF58:AF63"/>
    <mergeCell ref="AF64:AF69"/>
    <mergeCell ref="AF82:AF87"/>
    <mergeCell ref="AF88:AF93"/>
    <mergeCell ref="AF94:AF99"/>
    <mergeCell ref="AA130:AA135"/>
    <mergeCell ref="E40:E45"/>
    <mergeCell ref="E46:E51"/>
    <mergeCell ref="E112:E117"/>
    <mergeCell ref="E118:E123"/>
    <mergeCell ref="E124:E129"/>
    <mergeCell ref="E130:E135"/>
    <mergeCell ref="AA40:AA45"/>
    <mergeCell ref="AA46:AA51"/>
    <mergeCell ref="AA52:AA57"/>
    <mergeCell ref="AB40:AB45"/>
    <mergeCell ref="AC40:AC45"/>
    <mergeCell ref="AB124:AB129"/>
    <mergeCell ref="AC124:AC129"/>
    <mergeCell ref="AB100:AB105"/>
    <mergeCell ref="AC100:AC105"/>
    <mergeCell ref="AA136:AA141"/>
    <mergeCell ref="AB52:AB57"/>
    <mergeCell ref="AC52:AC57"/>
    <mergeCell ref="E52:E57"/>
    <mergeCell ref="E58:E63"/>
    <mergeCell ref="E64:E69"/>
    <mergeCell ref="E70:E75"/>
    <mergeCell ref="E106:E111"/>
    <mergeCell ref="C580:C585"/>
    <mergeCell ref="C586:C591"/>
    <mergeCell ref="C592:C597"/>
    <mergeCell ref="C598:C603"/>
    <mergeCell ref="C604:C609"/>
    <mergeCell ref="C610:C615"/>
    <mergeCell ref="C544:C549"/>
    <mergeCell ref="C550:C555"/>
    <mergeCell ref="C556:C561"/>
    <mergeCell ref="C562:C567"/>
    <mergeCell ref="C568:C573"/>
    <mergeCell ref="C574:C579"/>
    <mergeCell ref="C808:C813"/>
    <mergeCell ref="C814:C819"/>
    <mergeCell ref="C736:C741"/>
    <mergeCell ref="C742:C747"/>
    <mergeCell ref="C748:C753"/>
    <mergeCell ref="C754:C759"/>
    <mergeCell ref="C760:C765"/>
    <mergeCell ref="C766:C771"/>
    <mergeCell ref="C688:C693"/>
    <mergeCell ref="C694:C699"/>
    <mergeCell ref="C700:C705"/>
    <mergeCell ref="C706:C711"/>
    <mergeCell ref="C712:C717"/>
    <mergeCell ref="C718:C723"/>
    <mergeCell ref="C652:C657"/>
    <mergeCell ref="C658:C663"/>
    <mergeCell ref="C664:C669"/>
    <mergeCell ref="C670:C675"/>
    <mergeCell ref="C676:C681"/>
    <mergeCell ref="C682:C687"/>
    <mergeCell ref="C898:C903"/>
    <mergeCell ref="C904:C909"/>
    <mergeCell ref="C910:C915"/>
    <mergeCell ref="C916:C921"/>
    <mergeCell ref="E4:E9"/>
    <mergeCell ref="E10:E15"/>
    <mergeCell ref="E16:E21"/>
    <mergeCell ref="E22:E27"/>
    <mergeCell ref="E28:E33"/>
    <mergeCell ref="E34:E39"/>
    <mergeCell ref="C862:C867"/>
    <mergeCell ref="C868:C873"/>
    <mergeCell ref="C874:C879"/>
    <mergeCell ref="C880:C885"/>
    <mergeCell ref="C886:C891"/>
    <mergeCell ref="C892:C897"/>
    <mergeCell ref="C826:C831"/>
    <mergeCell ref="C832:C837"/>
    <mergeCell ref="C838:C843"/>
    <mergeCell ref="C844:C849"/>
    <mergeCell ref="C850:C855"/>
    <mergeCell ref="C856:C861"/>
    <mergeCell ref="C784:C789"/>
    <mergeCell ref="C790:C795"/>
    <mergeCell ref="C796:C801"/>
    <mergeCell ref="C802:C807"/>
    <mergeCell ref="E178:E183"/>
    <mergeCell ref="E184:E189"/>
    <mergeCell ref="E190:E195"/>
    <mergeCell ref="E196:E201"/>
    <mergeCell ref="E202:E207"/>
    <mergeCell ref="E208:E213"/>
    <mergeCell ref="E544:E549"/>
    <mergeCell ref="E550:E555"/>
    <mergeCell ref="E556:E561"/>
    <mergeCell ref="E562:E567"/>
    <mergeCell ref="E568:E573"/>
    <mergeCell ref="E574:E579"/>
    <mergeCell ref="E760:E765"/>
    <mergeCell ref="E766:E771"/>
    <mergeCell ref="E772:E777"/>
    <mergeCell ref="E778:E783"/>
    <mergeCell ref="E784:E789"/>
    <mergeCell ref="E790:E795"/>
    <mergeCell ref="E718:E723"/>
    <mergeCell ref="E724:E729"/>
    <mergeCell ref="E730:E735"/>
    <mergeCell ref="E736:E741"/>
    <mergeCell ref="E742:E747"/>
    <mergeCell ref="E748:E753"/>
    <mergeCell ref="E682:E687"/>
    <mergeCell ref="E688:E693"/>
    <mergeCell ref="E694:E699"/>
    <mergeCell ref="E700:E705"/>
    <mergeCell ref="E706:E711"/>
    <mergeCell ref="E712:E717"/>
    <mergeCell ref="E910:E915"/>
    <mergeCell ref="E916:E921"/>
    <mergeCell ref="E874:E879"/>
    <mergeCell ref="E880:E885"/>
    <mergeCell ref="E886:E891"/>
    <mergeCell ref="E892:E897"/>
    <mergeCell ref="E898:E903"/>
    <mergeCell ref="E904:E909"/>
    <mergeCell ref="E838:E843"/>
    <mergeCell ref="E844:E849"/>
    <mergeCell ref="E850:E855"/>
    <mergeCell ref="E856:E861"/>
    <mergeCell ref="E862:E867"/>
    <mergeCell ref="E868:E873"/>
    <mergeCell ref="E796:E801"/>
    <mergeCell ref="E802:E807"/>
    <mergeCell ref="E808:E813"/>
    <mergeCell ref="E814:E819"/>
    <mergeCell ref="E820:E825"/>
    <mergeCell ref="E826:E83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920"/>
  <sheetViews>
    <sheetView topLeftCell="C1" zoomScale="80" zoomScaleNormal="80" workbookViewId="0">
      <selection activeCell="L3" sqref="L3"/>
    </sheetView>
  </sheetViews>
  <sheetFormatPr defaultColWidth="11.375" defaultRowHeight="14.25" x14ac:dyDescent="0.2"/>
  <cols>
    <col min="2" max="2" width="57.75" customWidth="1"/>
    <col min="5" max="5" width="12.5" customWidth="1"/>
    <col min="6" max="6" width="13.25" customWidth="1"/>
    <col min="7" max="7" width="20.75" customWidth="1"/>
    <col min="9" max="9" width="61.875" customWidth="1"/>
    <col min="10" max="10" width="11.75" customWidth="1"/>
    <col min="12" max="13" width="14.375" customWidth="1"/>
  </cols>
  <sheetData>
    <row r="1" spans="2:14" ht="15" thickBot="1" x14ac:dyDescent="0.25"/>
    <row r="2" spans="2:14" ht="27" customHeight="1" thickTop="1" thickBot="1" x14ac:dyDescent="0.25">
      <c r="I2" s="137"/>
      <c r="J2" s="138"/>
      <c r="K2" s="138"/>
      <c r="L2" s="138"/>
      <c r="M2" s="138"/>
      <c r="N2" s="139"/>
    </row>
    <row r="3" spans="2:14" ht="45.75" customHeight="1" thickBot="1" x14ac:dyDescent="0.25">
      <c r="B3" s="2" t="s">
        <v>5</v>
      </c>
      <c r="C3" s="2" t="s">
        <v>14</v>
      </c>
      <c r="D3" s="2" t="s">
        <v>3</v>
      </c>
      <c r="E3" s="2" t="s">
        <v>7</v>
      </c>
      <c r="F3" s="2" t="s">
        <v>4</v>
      </c>
      <c r="G3" s="2" t="s">
        <v>8</v>
      </c>
      <c r="H3" s="2" t="s">
        <v>2</v>
      </c>
      <c r="I3" s="65" t="s">
        <v>66</v>
      </c>
      <c r="J3" s="63" t="s">
        <v>67</v>
      </c>
      <c r="K3" s="63" t="s">
        <v>68</v>
      </c>
      <c r="L3" s="119" t="s">
        <v>101</v>
      </c>
      <c r="M3" s="119" t="s">
        <v>69</v>
      </c>
      <c r="N3" s="64" t="s">
        <v>0</v>
      </c>
    </row>
    <row r="4" spans="2:14" ht="35.1" customHeight="1" thickTop="1" thickBot="1" x14ac:dyDescent="0.25">
      <c r="B4" s="38"/>
      <c r="C4" s="38"/>
      <c r="D4" s="38"/>
      <c r="E4" s="38"/>
      <c r="F4" s="38"/>
      <c r="G4" s="38"/>
      <c r="H4" s="38"/>
      <c r="I4" s="39"/>
      <c r="J4" s="40"/>
      <c r="K4" s="40"/>
      <c r="L4" s="40"/>
      <c r="M4" s="40"/>
      <c r="N4" s="3" t="e">
        <f>J4/I4</f>
        <v>#DIV/0!</v>
      </c>
    </row>
    <row r="5" spans="2:14" ht="35.1" customHeight="1" thickBot="1" x14ac:dyDescent="0.25">
      <c r="B5" s="41"/>
      <c r="C5" s="41"/>
      <c r="D5" s="41"/>
      <c r="E5" s="41"/>
      <c r="F5" s="41"/>
      <c r="G5" s="41"/>
      <c r="H5" s="41"/>
      <c r="I5" s="42"/>
      <c r="J5" s="43"/>
      <c r="K5" s="43"/>
      <c r="L5" s="43"/>
      <c r="M5" s="43"/>
      <c r="N5" s="3" t="e">
        <f t="shared" ref="N5:N68" si="0">J5/I5</f>
        <v>#DIV/0!</v>
      </c>
    </row>
    <row r="6" spans="2:14" ht="35.1" customHeight="1" thickBot="1" x14ac:dyDescent="0.25">
      <c r="B6" s="41"/>
      <c r="C6" s="41"/>
      <c r="D6" s="41"/>
      <c r="E6" s="41"/>
      <c r="F6" s="41"/>
      <c r="G6" s="41"/>
      <c r="H6" s="41"/>
      <c r="I6" s="42"/>
      <c r="J6" s="43"/>
      <c r="K6" s="43"/>
      <c r="L6" s="43"/>
      <c r="M6" s="43"/>
      <c r="N6" s="3" t="e">
        <f t="shared" si="0"/>
        <v>#DIV/0!</v>
      </c>
    </row>
    <row r="7" spans="2:14" ht="35.1" customHeight="1" thickBot="1" x14ac:dyDescent="0.25">
      <c r="B7" s="41"/>
      <c r="C7" s="41"/>
      <c r="D7" s="41"/>
      <c r="E7" s="41"/>
      <c r="F7" s="41"/>
      <c r="G7" s="41"/>
      <c r="H7" s="41"/>
      <c r="I7" s="42"/>
      <c r="J7" s="43"/>
      <c r="K7" s="43"/>
      <c r="L7" s="43"/>
      <c r="M7" s="43"/>
      <c r="N7" s="3" t="e">
        <f t="shared" si="0"/>
        <v>#DIV/0!</v>
      </c>
    </row>
    <row r="8" spans="2:14" ht="35.1" customHeight="1" thickBot="1" x14ac:dyDescent="0.25">
      <c r="B8" s="41"/>
      <c r="C8" s="41"/>
      <c r="D8" s="41"/>
      <c r="E8" s="41"/>
      <c r="F8" s="41"/>
      <c r="G8" s="41"/>
      <c r="H8" s="41"/>
      <c r="I8" s="42"/>
      <c r="J8" s="43"/>
      <c r="K8" s="43"/>
      <c r="L8" s="43"/>
      <c r="M8" s="43"/>
      <c r="N8" s="3" t="e">
        <f t="shared" si="0"/>
        <v>#DIV/0!</v>
      </c>
    </row>
    <row r="9" spans="2:14" ht="47.25" customHeight="1" thickBot="1" x14ac:dyDescent="0.25">
      <c r="B9" s="41"/>
      <c r="C9" s="41"/>
      <c r="D9" s="41"/>
      <c r="E9" s="41"/>
      <c r="F9" s="41"/>
      <c r="G9" s="41"/>
      <c r="H9" s="41"/>
      <c r="I9" s="42"/>
      <c r="J9" s="43"/>
      <c r="K9" s="43"/>
      <c r="L9" s="43"/>
      <c r="M9" s="43"/>
      <c r="N9" s="3" t="e">
        <f t="shared" si="0"/>
        <v>#DIV/0!</v>
      </c>
    </row>
    <row r="10" spans="2:14" ht="35.1" customHeight="1" thickBot="1" x14ac:dyDescent="0.25">
      <c r="B10" s="44"/>
      <c r="C10" s="44"/>
      <c r="D10" s="44"/>
      <c r="E10" s="44"/>
      <c r="F10" s="44"/>
      <c r="G10" s="44"/>
      <c r="H10" s="44"/>
      <c r="I10" s="45"/>
      <c r="J10" s="46"/>
      <c r="K10" s="46"/>
      <c r="L10" s="46"/>
      <c r="M10" s="46"/>
      <c r="N10" s="3" t="e">
        <f t="shared" si="0"/>
        <v>#DIV/0!</v>
      </c>
    </row>
    <row r="11" spans="2:14" ht="35.1" customHeight="1" thickTop="1" thickBot="1" x14ac:dyDescent="0.25">
      <c r="B11" s="38"/>
      <c r="C11" s="38"/>
      <c r="D11" s="38"/>
      <c r="E11" s="38"/>
      <c r="F11" s="38"/>
      <c r="G11" s="38"/>
      <c r="H11" s="38"/>
      <c r="I11" s="39"/>
      <c r="J11" s="40"/>
      <c r="K11" s="40"/>
      <c r="L11" s="40"/>
      <c r="M11" s="40"/>
      <c r="N11" s="3" t="e">
        <f t="shared" si="0"/>
        <v>#DIV/0!</v>
      </c>
    </row>
    <row r="12" spans="2:14" ht="35.1" customHeight="1" thickBot="1" x14ac:dyDescent="0.25">
      <c r="B12" s="41"/>
      <c r="C12" s="41"/>
      <c r="D12" s="41"/>
      <c r="E12" s="41"/>
      <c r="F12" s="41"/>
      <c r="G12" s="41"/>
      <c r="H12" s="41"/>
      <c r="I12" s="42"/>
      <c r="J12" s="43"/>
      <c r="K12" s="43"/>
      <c r="L12" s="43"/>
      <c r="M12" s="43"/>
      <c r="N12" s="3" t="e">
        <f t="shared" si="0"/>
        <v>#DIV/0!</v>
      </c>
    </row>
    <row r="13" spans="2:14" ht="35.1" customHeight="1" thickBot="1" x14ac:dyDescent="0.25">
      <c r="B13" s="41"/>
      <c r="C13" s="41"/>
      <c r="D13" s="41"/>
      <c r="E13" s="41"/>
      <c r="F13" s="41"/>
      <c r="G13" s="41"/>
      <c r="H13" s="41"/>
      <c r="I13" s="42"/>
      <c r="J13" s="43"/>
      <c r="K13" s="43"/>
      <c r="L13" s="43"/>
      <c r="M13" s="43"/>
      <c r="N13" s="3" t="e">
        <f t="shared" si="0"/>
        <v>#DIV/0!</v>
      </c>
    </row>
    <row r="14" spans="2:14" ht="34.5" customHeight="1" thickBot="1" x14ac:dyDescent="0.25">
      <c r="B14" s="41"/>
      <c r="C14" s="41"/>
      <c r="D14" s="41"/>
      <c r="E14" s="41"/>
      <c r="F14" s="41"/>
      <c r="G14" s="41"/>
      <c r="H14" s="41"/>
      <c r="I14" s="42"/>
      <c r="J14" s="43"/>
      <c r="K14" s="43"/>
      <c r="L14" s="43"/>
      <c r="M14" s="43"/>
      <c r="N14" s="3" t="e">
        <f t="shared" si="0"/>
        <v>#DIV/0!</v>
      </c>
    </row>
    <row r="15" spans="2:14" ht="35.1" customHeight="1" thickBot="1" x14ac:dyDescent="0.25">
      <c r="B15" s="41"/>
      <c r="C15" s="41"/>
      <c r="D15" s="41"/>
      <c r="E15" s="41"/>
      <c r="F15" s="41"/>
      <c r="G15" s="41"/>
      <c r="H15" s="41"/>
      <c r="I15" s="42"/>
      <c r="J15" s="43"/>
      <c r="K15" s="43"/>
      <c r="L15" s="43"/>
      <c r="M15" s="43"/>
      <c r="N15" s="3" t="e">
        <f t="shared" si="0"/>
        <v>#DIV/0!</v>
      </c>
    </row>
    <row r="16" spans="2:14" ht="35.1" customHeight="1" thickBot="1" x14ac:dyDescent="0.25">
      <c r="B16" s="41"/>
      <c r="C16" s="41"/>
      <c r="D16" s="41"/>
      <c r="E16" s="41"/>
      <c r="F16" s="41"/>
      <c r="G16" s="41"/>
      <c r="H16" s="41"/>
      <c r="I16" s="42"/>
      <c r="J16" s="43"/>
      <c r="K16" s="43"/>
      <c r="L16" s="43"/>
      <c r="M16" s="43"/>
      <c r="N16" s="3" t="e">
        <f t="shared" si="0"/>
        <v>#DIV/0!</v>
      </c>
    </row>
    <row r="17" spans="2:14" ht="35.1" customHeight="1" thickBot="1" x14ac:dyDescent="0.25">
      <c r="B17" s="44"/>
      <c r="C17" s="44"/>
      <c r="D17" s="44"/>
      <c r="E17" s="44"/>
      <c r="F17" s="44"/>
      <c r="G17" s="44"/>
      <c r="H17" s="44"/>
      <c r="I17" s="45"/>
      <c r="J17" s="46"/>
      <c r="K17" s="46"/>
      <c r="L17" s="46"/>
      <c r="M17" s="46"/>
      <c r="N17" s="3" t="e">
        <f t="shared" si="0"/>
        <v>#DIV/0!</v>
      </c>
    </row>
    <row r="18" spans="2:14" ht="35.1" customHeight="1" thickTop="1" thickBot="1" x14ac:dyDescent="0.25">
      <c r="B18" s="38"/>
      <c r="C18" s="38"/>
      <c r="D18" s="38"/>
      <c r="E18" s="38"/>
      <c r="F18" s="38"/>
      <c r="G18" s="38"/>
      <c r="H18" s="38"/>
      <c r="I18" s="39"/>
      <c r="J18" s="40"/>
      <c r="K18" s="40"/>
      <c r="L18" s="40"/>
      <c r="M18" s="40"/>
      <c r="N18" s="3" t="e">
        <f t="shared" si="0"/>
        <v>#DIV/0!</v>
      </c>
    </row>
    <row r="19" spans="2:14" ht="35.1" customHeight="1" thickBot="1" x14ac:dyDescent="0.25">
      <c r="B19" s="41"/>
      <c r="C19" s="41"/>
      <c r="D19" s="41"/>
      <c r="E19" s="41"/>
      <c r="F19" s="41"/>
      <c r="G19" s="41"/>
      <c r="H19" s="41"/>
      <c r="I19" s="42"/>
      <c r="J19" s="43"/>
      <c r="K19" s="43"/>
      <c r="L19" s="43"/>
      <c r="M19" s="43"/>
      <c r="N19" s="3" t="e">
        <f t="shared" si="0"/>
        <v>#DIV/0!</v>
      </c>
    </row>
    <row r="20" spans="2:14" ht="35.1" customHeight="1" thickBot="1" x14ac:dyDescent="0.25">
      <c r="B20" s="41"/>
      <c r="C20" s="41"/>
      <c r="D20" s="41"/>
      <c r="E20" s="41"/>
      <c r="F20" s="41"/>
      <c r="G20" s="41"/>
      <c r="H20" s="41"/>
      <c r="I20" s="42"/>
      <c r="J20" s="43"/>
      <c r="K20" s="43"/>
      <c r="L20" s="43"/>
      <c r="M20" s="43"/>
      <c r="N20" s="3" t="e">
        <f t="shared" si="0"/>
        <v>#DIV/0!</v>
      </c>
    </row>
    <row r="21" spans="2:14" ht="35.1" customHeight="1" thickBot="1" x14ac:dyDescent="0.25">
      <c r="B21" s="41"/>
      <c r="C21" s="41"/>
      <c r="D21" s="41"/>
      <c r="E21" s="41"/>
      <c r="F21" s="41"/>
      <c r="G21" s="41"/>
      <c r="H21" s="41"/>
      <c r="I21" s="42"/>
      <c r="J21" s="43"/>
      <c r="K21" s="43"/>
      <c r="L21" s="43"/>
      <c r="M21" s="43"/>
      <c r="N21" s="3" t="e">
        <f t="shared" si="0"/>
        <v>#DIV/0!</v>
      </c>
    </row>
    <row r="22" spans="2:14" ht="35.1" customHeight="1" thickBot="1" x14ac:dyDescent="0.25">
      <c r="B22" s="41"/>
      <c r="C22" s="41"/>
      <c r="D22" s="41"/>
      <c r="E22" s="41"/>
      <c r="F22" s="41"/>
      <c r="G22" s="41"/>
      <c r="H22" s="41"/>
      <c r="I22" s="42"/>
      <c r="J22" s="43"/>
      <c r="K22" s="43"/>
      <c r="L22" s="43"/>
      <c r="M22" s="43"/>
      <c r="N22" s="3" t="e">
        <f t="shared" si="0"/>
        <v>#DIV/0!</v>
      </c>
    </row>
    <row r="23" spans="2:14" ht="35.1" customHeight="1" thickBot="1" x14ac:dyDescent="0.25">
      <c r="B23" s="41"/>
      <c r="C23" s="41"/>
      <c r="D23" s="41"/>
      <c r="E23" s="41"/>
      <c r="F23" s="41"/>
      <c r="G23" s="41"/>
      <c r="H23" s="41"/>
      <c r="I23" s="42"/>
      <c r="J23" s="43"/>
      <c r="K23" s="43"/>
      <c r="L23" s="43"/>
      <c r="M23" s="43"/>
      <c r="N23" s="3" t="e">
        <f t="shared" si="0"/>
        <v>#DIV/0!</v>
      </c>
    </row>
    <row r="24" spans="2:14" ht="35.1" customHeight="1" thickBot="1" x14ac:dyDescent="0.25">
      <c r="B24" s="44"/>
      <c r="C24" s="44"/>
      <c r="D24" s="44"/>
      <c r="E24" s="44"/>
      <c r="F24" s="44"/>
      <c r="G24" s="44"/>
      <c r="H24" s="44"/>
      <c r="I24" s="45"/>
      <c r="J24" s="46"/>
      <c r="K24" s="46"/>
      <c r="L24" s="46"/>
      <c r="M24" s="46"/>
      <c r="N24" s="3" t="e">
        <f t="shared" si="0"/>
        <v>#DIV/0!</v>
      </c>
    </row>
    <row r="25" spans="2:14" ht="35.1" customHeight="1" thickTop="1" thickBot="1" x14ac:dyDescent="0.25">
      <c r="B25" s="38"/>
      <c r="C25" s="38"/>
      <c r="D25" s="38"/>
      <c r="E25" s="38"/>
      <c r="F25" s="38"/>
      <c r="G25" s="38"/>
      <c r="H25" s="38"/>
      <c r="I25" s="39"/>
      <c r="J25" s="40"/>
      <c r="K25" s="40"/>
      <c r="L25" s="40"/>
      <c r="M25" s="40"/>
      <c r="N25" s="3" t="e">
        <f t="shared" si="0"/>
        <v>#DIV/0!</v>
      </c>
    </row>
    <row r="26" spans="2:14" ht="35.1" customHeight="1" thickBot="1" x14ac:dyDescent="0.25">
      <c r="B26" s="41"/>
      <c r="C26" s="41"/>
      <c r="D26" s="41"/>
      <c r="E26" s="41"/>
      <c r="F26" s="41"/>
      <c r="G26" s="41"/>
      <c r="H26" s="41"/>
      <c r="I26" s="42"/>
      <c r="J26" s="43"/>
      <c r="K26" s="43"/>
      <c r="L26" s="43"/>
      <c r="M26" s="43"/>
      <c r="N26" s="3" t="e">
        <f t="shared" si="0"/>
        <v>#DIV/0!</v>
      </c>
    </row>
    <row r="27" spans="2:14" ht="35.1" customHeight="1" thickBot="1" x14ac:dyDescent="0.25">
      <c r="B27" s="41"/>
      <c r="C27" s="41"/>
      <c r="D27" s="41"/>
      <c r="E27" s="41"/>
      <c r="F27" s="41"/>
      <c r="G27" s="41"/>
      <c r="H27" s="41"/>
      <c r="I27" s="42"/>
      <c r="J27" s="43"/>
      <c r="K27" s="43"/>
      <c r="L27" s="43"/>
      <c r="M27" s="43"/>
      <c r="N27" s="3" t="e">
        <f t="shared" si="0"/>
        <v>#DIV/0!</v>
      </c>
    </row>
    <row r="28" spans="2:14" ht="35.1" customHeight="1" thickBot="1" x14ac:dyDescent="0.25">
      <c r="B28" s="41"/>
      <c r="C28" s="41"/>
      <c r="D28" s="41"/>
      <c r="E28" s="41"/>
      <c r="F28" s="41"/>
      <c r="G28" s="41"/>
      <c r="H28" s="41"/>
      <c r="I28" s="42"/>
      <c r="J28" s="43"/>
      <c r="K28" s="43"/>
      <c r="L28" s="43"/>
      <c r="M28" s="43"/>
      <c r="N28" s="3" t="e">
        <f t="shared" si="0"/>
        <v>#DIV/0!</v>
      </c>
    </row>
    <row r="29" spans="2:14" ht="35.1" customHeight="1" thickBot="1" x14ac:dyDescent="0.25">
      <c r="B29" s="41"/>
      <c r="C29" s="41"/>
      <c r="D29" s="41"/>
      <c r="E29" s="41"/>
      <c r="F29" s="41"/>
      <c r="G29" s="41"/>
      <c r="H29" s="41"/>
      <c r="I29" s="42"/>
      <c r="J29" s="43"/>
      <c r="K29" s="43"/>
      <c r="L29" s="43"/>
      <c r="M29" s="43"/>
      <c r="N29" s="3" t="e">
        <f t="shared" si="0"/>
        <v>#DIV/0!</v>
      </c>
    </row>
    <row r="30" spans="2:14" ht="35.1" customHeight="1" thickBot="1" x14ac:dyDescent="0.25">
      <c r="B30" s="41"/>
      <c r="C30" s="41"/>
      <c r="D30" s="41"/>
      <c r="E30" s="41"/>
      <c r="F30" s="41"/>
      <c r="G30" s="41"/>
      <c r="H30" s="41"/>
      <c r="I30" s="42"/>
      <c r="J30" s="43"/>
      <c r="K30" s="43"/>
      <c r="L30" s="43"/>
      <c r="M30" s="43"/>
      <c r="N30" s="3" t="e">
        <f t="shared" si="0"/>
        <v>#DIV/0!</v>
      </c>
    </row>
    <row r="31" spans="2:14" ht="35.1" customHeight="1" thickBot="1" x14ac:dyDescent="0.25">
      <c r="B31" s="44"/>
      <c r="C31" s="44"/>
      <c r="D31" s="44"/>
      <c r="E31" s="44"/>
      <c r="F31" s="44"/>
      <c r="G31" s="44"/>
      <c r="H31" s="44"/>
      <c r="I31" s="45"/>
      <c r="J31" s="46"/>
      <c r="K31" s="46"/>
      <c r="L31" s="46"/>
      <c r="M31" s="46"/>
      <c r="N31" s="3" t="e">
        <f t="shared" si="0"/>
        <v>#DIV/0!</v>
      </c>
    </row>
    <row r="32" spans="2:14" ht="59.25" customHeight="1" thickTop="1" thickBot="1" x14ac:dyDescent="0.25">
      <c r="B32" s="38"/>
      <c r="C32" s="38"/>
      <c r="D32" s="38"/>
      <c r="E32" s="38"/>
      <c r="F32" s="38"/>
      <c r="G32" s="38"/>
      <c r="H32" s="38"/>
      <c r="I32" s="39"/>
      <c r="J32" s="40"/>
      <c r="K32" s="40"/>
      <c r="L32" s="40"/>
      <c r="M32" s="40"/>
      <c r="N32" s="3" t="e">
        <f t="shared" si="0"/>
        <v>#DIV/0!</v>
      </c>
    </row>
    <row r="33" spans="2:14" ht="35.1" customHeight="1" thickBot="1" x14ac:dyDescent="0.25">
      <c r="B33" s="41"/>
      <c r="C33" s="41"/>
      <c r="D33" s="41"/>
      <c r="E33" s="41"/>
      <c r="F33" s="41"/>
      <c r="G33" s="41"/>
      <c r="H33" s="41"/>
      <c r="I33" s="42"/>
      <c r="J33" s="43"/>
      <c r="K33" s="43"/>
      <c r="L33" s="43"/>
      <c r="M33" s="43"/>
      <c r="N33" s="3" t="e">
        <f t="shared" si="0"/>
        <v>#DIV/0!</v>
      </c>
    </row>
    <row r="34" spans="2:14" ht="35.1" customHeight="1" thickBot="1" x14ac:dyDescent="0.25">
      <c r="B34" s="41"/>
      <c r="C34" s="41"/>
      <c r="D34" s="41"/>
      <c r="E34" s="41"/>
      <c r="F34" s="41"/>
      <c r="G34" s="41"/>
      <c r="H34" s="41"/>
      <c r="I34" s="42"/>
      <c r="J34" s="43"/>
      <c r="K34" s="43"/>
      <c r="L34" s="43"/>
      <c r="M34" s="43"/>
      <c r="N34" s="3" t="e">
        <f t="shared" si="0"/>
        <v>#DIV/0!</v>
      </c>
    </row>
    <row r="35" spans="2:14" ht="35.1" customHeight="1" thickBot="1" x14ac:dyDescent="0.25">
      <c r="B35" s="41"/>
      <c r="C35" s="41"/>
      <c r="D35" s="41"/>
      <c r="E35" s="41"/>
      <c r="F35" s="41"/>
      <c r="G35" s="41"/>
      <c r="H35" s="41"/>
      <c r="I35" s="42"/>
      <c r="J35" s="43"/>
      <c r="K35" s="43"/>
      <c r="L35" s="43"/>
      <c r="M35" s="43"/>
      <c r="N35" s="3" t="e">
        <f t="shared" si="0"/>
        <v>#DIV/0!</v>
      </c>
    </row>
    <row r="36" spans="2:14" ht="35.1" customHeight="1" thickBot="1" x14ac:dyDescent="0.25">
      <c r="B36" s="41"/>
      <c r="C36" s="41"/>
      <c r="D36" s="41"/>
      <c r="E36" s="41"/>
      <c r="F36" s="41"/>
      <c r="G36" s="41"/>
      <c r="H36" s="41"/>
      <c r="I36" s="42"/>
      <c r="J36" s="43"/>
      <c r="K36" s="43"/>
      <c r="L36" s="43"/>
      <c r="M36" s="43"/>
      <c r="N36" s="3" t="e">
        <f t="shared" si="0"/>
        <v>#DIV/0!</v>
      </c>
    </row>
    <row r="37" spans="2:14" ht="35.1" customHeight="1" thickBot="1" x14ac:dyDescent="0.25">
      <c r="B37" s="41"/>
      <c r="C37" s="41"/>
      <c r="D37" s="41"/>
      <c r="E37" s="41"/>
      <c r="F37" s="41"/>
      <c r="G37" s="41"/>
      <c r="H37" s="41"/>
      <c r="I37" s="42"/>
      <c r="J37" s="43"/>
      <c r="K37" s="43"/>
      <c r="L37" s="43"/>
      <c r="M37" s="43"/>
      <c r="N37" s="3" t="e">
        <f t="shared" si="0"/>
        <v>#DIV/0!</v>
      </c>
    </row>
    <row r="38" spans="2:14" ht="58.5" customHeight="1" thickBot="1" x14ac:dyDescent="0.25">
      <c r="B38" s="44"/>
      <c r="C38" s="44"/>
      <c r="D38" s="44"/>
      <c r="E38" s="44"/>
      <c r="F38" s="44"/>
      <c r="G38" s="44"/>
      <c r="H38" s="44"/>
      <c r="I38" s="45"/>
      <c r="J38" s="46"/>
      <c r="K38" s="46"/>
      <c r="L38" s="46"/>
      <c r="M38" s="46"/>
      <c r="N38" s="3" t="e">
        <f t="shared" si="0"/>
        <v>#DIV/0!</v>
      </c>
    </row>
    <row r="39" spans="2:14" ht="35.1" customHeight="1" thickTop="1" thickBot="1" x14ac:dyDescent="0.25">
      <c r="B39" s="38"/>
      <c r="C39" s="38"/>
      <c r="D39" s="38"/>
      <c r="E39" s="38"/>
      <c r="F39" s="38"/>
      <c r="G39" s="38"/>
      <c r="H39" s="38"/>
      <c r="I39" s="39"/>
      <c r="J39" s="40"/>
      <c r="K39" s="40"/>
      <c r="L39" s="40"/>
      <c r="M39" s="40"/>
      <c r="N39" s="3" t="e">
        <f t="shared" si="0"/>
        <v>#DIV/0!</v>
      </c>
    </row>
    <row r="40" spans="2:14" ht="35.1" customHeight="1" thickBot="1" x14ac:dyDescent="0.25">
      <c r="B40" s="41"/>
      <c r="C40" s="41"/>
      <c r="D40" s="41"/>
      <c r="E40" s="41"/>
      <c r="F40" s="41"/>
      <c r="G40" s="41"/>
      <c r="H40" s="41"/>
      <c r="I40" s="42"/>
      <c r="J40" s="43"/>
      <c r="K40" s="43"/>
      <c r="L40" s="43"/>
      <c r="M40" s="43"/>
      <c r="N40" s="3" t="e">
        <f t="shared" si="0"/>
        <v>#DIV/0!</v>
      </c>
    </row>
    <row r="41" spans="2:14" ht="35.1" customHeight="1" thickBot="1" x14ac:dyDescent="0.25">
      <c r="B41" s="41"/>
      <c r="C41" s="41"/>
      <c r="D41" s="41"/>
      <c r="E41" s="41"/>
      <c r="F41" s="41"/>
      <c r="G41" s="41"/>
      <c r="H41" s="41"/>
      <c r="I41" s="42"/>
      <c r="J41" s="43"/>
      <c r="K41" s="43"/>
      <c r="L41" s="43"/>
      <c r="M41" s="43"/>
      <c r="N41" s="3" t="e">
        <f t="shared" si="0"/>
        <v>#DIV/0!</v>
      </c>
    </row>
    <row r="42" spans="2:14" ht="35.1" customHeight="1" thickBot="1" x14ac:dyDescent="0.25">
      <c r="B42" s="41"/>
      <c r="C42" s="41"/>
      <c r="D42" s="41"/>
      <c r="E42" s="41"/>
      <c r="F42" s="41"/>
      <c r="G42" s="41"/>
      <c r="H42" s="41"/>
      <c r="I42" s="42"/>
      <c r="J42" s="43"/>
      <c r="K42" s="43"/>
      <c r="L42" s="43"/>
      <c r="M42" s="43"/>
      <c r="N42" s="3" t="e">
        <f t="shared" si="0"/>
        <v>#DIV/0!</v>
      </c>
    </row>
    <row r="43" spans="2:14" ht="35.1" customHeight="1" thickBot="1" x14ac:dyDescent="0.25">
      <c r="B43" s="41"/>
      <c r="C43" s="41"/>
      <c r="D43" s="41"/>
      <c r="E43" s="41"/>
      <c r="F43" s="41"/>
      <c r="G43" s="41"/>
      <c r="H43" s="41"/>
      <c r="I43" s="42"/>
      <c r="J43" s="43"/>
      <c r="K43" s="43"/>
      <c r="L43" s="43"/>
      <c r="M43" s="43"/>
      <c r="N43" s="3" t="e">
        <f t="shared" si="0"/>
        <v>#DIV/0!</v>
      </c>
    </row>
    <row r="44" spans="2:14" ht="35.1" customHeight="1" thickBot="1" x14ac:dyDescent="0.25">
      <c r="B44" s="41"/>
      <c r="C44" s="41"/>
      <c r="D44" s="41"/>
      <c r="E44" s="41"/>
      <c r="F44" s="41"/>
      <c r="G44" s="41"/>
      <c r="H44" s="41"/>
      <c r="I44" s="42"/>
      <c r="J44" s="43"/>
      <c r="K44" s="43"/>
      <c r="L44" s="43"/>
      <c r="M44" s="43"/>
      <c r="N44" s="3" t="e">
        <f t="shared" si="0"/>
        <v>#DIV/0!</v>
      </c>
    </row>
    <row r="45" spans="2:14" ht="35.1" customHeight="1" thickBot="1" x14ac:dyDescent="0.25">
      <c r="B45" s="44"/>
      <c r="C45" s="44"/>
      <c r="D45" s="44"/>
      <c r="E45" s="44"/>
      <c r="F45" s="44"/>
      <c r="G45" s="44"/>
      <c r="H45" s="44"/>
      <c r="I45" s="45"/>
      <c r="J45" s="46"/>
      <c r="K45" s="46"/>
      <c r="L45" s="46"/>
      <c r="M45" s="46"/>
      <c r="N45" s="3" t="e">
        <f t="shared" si="0"/>
        <v>#DIV/0!</v>
      </c>
    </row>
    <row r="46" spans="2:14" ht="35.1" customHeight="1" thickTop="1" thickBot="1" x14ac:dyDescent="0.25">
      <c r="B46" s="38"/>
      <c r="C46" s="38"/>
      <c r="D46" s="38"/>
      <c r="E46" s="38"/>
      <c r="F46" s="38"/>
      <c r="G46" s="38"/>
      <c r="H46" s="38"/>
      <c r="I46" s="39"/>
      <c r="J46" s="40"/>
      <c r="K46" s="40"/>
      <c r="L46" s="40"/>
      <c r="M46" s="40"/>
      <c r="N46" s="3" t="e">
        <f t="shared" si="0"/>
        <v>#DIV/0!</v>
      </c>
    </row>
    <row r="47" spans="2:14" ht="35.1" customHeight="1" thickBot="1" x14ac:dyDescent="0.25">
      <c r="B47" s="41"/>
      <c r="C47" s="41"/>
      <c r="D47" s="41"/>
      <c r="E47" s="41"/>
      <c r="F47" s="41"/>
      <c r="G47" s="41"/>
      <c r="H47" s="41"/>
      <c r="I47" s="42"/>
      <c r="J47" s="43"/>
      <c r="K47" s="43"/>
      <c r="L47" s="43"/>
      <c r="M47" s="43"/>
      <c r="N47" s="3" t="e">
        <f t="shared" si="0"/>
        <v>#DIV/0!</v>
      </c>
    </row>
    <row r="48" spans="2:14" ht="35.1" customHeight="1" thickBot="1" x14ac:dyDescent="0.25">
      <c r="B48" s="41"/>
      <c r="C48" s="41"/>
      <c r="D48" s="41"/>
      <c r="E48" s="41"/>
      <c r="F48" s="41"/>
      <c r="G48" s="41"/>
      <c r="H48" s="41"/>
      <c r="I48" s="42"/>
      <c r="J48" s="43"/>
      <c r="K48" s="43"/>
      <c r="L48" s="43"/>
      <c r="M48" s="43"/>
      <c r="N48" s="3" t="e">
        <f t="shared" si="0"/>
        <v>#DIV/0!</v>
      </c>
    </row>
    <row r="49" spans="2:14" ht="35.1" customHeight="1" thickBot="1" x14ac:dyDescent="0.25">
      <c r="B49" s="41"/>
      <c r="C49" s="41"/>
      <c r="D49" s="41"/>
      <c r="E49" s="41"/>
      <c r="F49" s="41"/>
      <c r="G49" s="41"/>
      <c r="H49" s="41"/>
      <c r="I49" s="42"/>
      <c r="J49" s="43"/>
      <c r="K49" s="43"/>
      <c r="L49" s="43"/>
      <c r="M49" s="43"/>
      <c r="N49" s="3" t="e">
        <f t="shared" si="0"/>
        <v>#DIV/0!</v>
      </c>
    </row>
    <row r="50" spans="2:14" ht="35.1" customHeight="1" thickBot="1" x14ac:dyDescent="0.25">
      <c r="B50" s="41"/>
      <c r="C50" s="41"/>
      <c r="D50" s="41"/>
      <c r="E50" s="41"/>
      <c r="F50" s="41"/>
      <c r="G50" s="41"/>
      <c r="H50" s="41"/>
      <c r="I50" s="42"/>
      <c r="J50" s="43"/>
      <c r="K50" s="43"/>
      <c r="L50" s="43"/>
      <c r="M50" s="43"/>
      <c r="N50" s="3" t="e">
        <f t="shared" si="0"/>
        <v>#DIV/0!</v>
      </c>
    </row>
    <row r="51" spans="2:14" ht="35.1" customHeight="1" thickBot="1" x14ac:dyDescent="0.25">
      <c r="B51" s="41"/>
      <c r="C51" s="41"/>
      <c r="D51" s="41"/>
      <c r="E51" s="41"/>
      <c r="F51" s="41"/>
      <c r="G51" s="41"/>
      <c r="H51" s="41"/>
      <c r="I51" s="42"/>
      <c r="J51" s="43"/>
      <c r="K51" s="43"/>
      <c r="L51" s="43"/>
      <c r="M51" s="43"/>
      <c r="N51" s="3" t="e">
        <f t="shared" si="0"/>
        <v>#DIV/0!</v>
      </c>
    </row>
    <row r="52" spans="2:14" ht="35.1" customHeight="1" thickBot="1" x14ac:dyDescent="0.25">
      <c r="B52" s="44"/>
      <c r="C52" s="44"/>
      <c r="D52" s="44"/>
      <c r="E52" s="44"/>
      <c r="F52" s="44"/>
      <c r="G52" s="44"/>
      <c r="H52" s="44"/>
      <c r="I52" s="45"/>
      <c r="J52" s="46"/>
      <c r="K52" s="46"/>
      <c r="L52" s="46"/>
      <c r="M52" s="46"/>
      <c r="N52" s="3" t="e">
        <f t="shared" si="0"/>
        <v>#DIV/0!</v>
      </c>
    </row>
    <row r="53" spans="2:14" ht="35.1" customHeight="1" thickTop="1" thickBot="1" x14ac:dyDescent="0.25">
      <c r="B53" s="38"/>
      <c r="C53" s="38"/>
      <c r="D53" s="38"/>
      <c r="E53" s="38"/>
      <c r="F53" s="38"/>
      <c r="G53" s="38"/>
      <c r="H53" s="38"/>
      <c r="I53" s="39"/>
      <c r="J53" s="40"/>
      <c r="K53" s="40"/>
      <c r="L53" s="40"/>
      <c r="M53" s="40"/>
      <c r="N53" s="3" t="e">
        <f t="shared" si="0"/>
        <v>#DIV/0!</v>
      </c>
    </row>
    <row r="54" spans="2:14" ht="35.1" customHeight="1" thickBot="1" x14ac:dyDescent="0.25">
      <c r="B54" s="41"/>
      <c r="C54" s="41"/>
      <c r="D54" s="41"/>
      <c r="E54" s="41"/>
      <c r="F54" s="41"/>
      <c r="G54" s="41"/>
      <c r="H54" s="41"/>
      <c r="I54" s="42"/>
      <c r="J54" s="43"/>
      <c r="K54" s="43"/>
      <c r="L54" s="43"/>
      <c r="M54" s="43"/>
      <c r="N54" s="3" t="e">
        <f t="shared" si="0"/>
        <v>#DIV/0!</v>
      </c>
    </row>
    <row r="55" spans="2:14" ht="35.1" customHeight="1" thickBot="1" x14ac:dyDescent="0.25">
      <c r="B55" s="41"/>
      <c r="C55" s="41"/>
      <c r="D55" s="41"/>
      <c r="E55" s="41"/>
      <c r="F55" s="41"/>
      <c r="G55" s="41"/>
      <c r="H55" s="41"/>
      <c r="I55" s="42"/>
      <c r="J55" s="43"/>
      <c r="K55" s="43"/>
      <c r="L55" s="43"/>
      <c r="M55" s="43"/>
      <c r="N55" s="3" t="e">
        <f t="shared" si="0"/>
        <v>#DIV/0!</v>
      </c>
    </row>
    <row r="56" spans="2:14" ht="35.1" customHeight="1" thickBot="1" x14ac:dyDescent="0.25">
      <c r="B56" s="41"/>
      <c r="C56" s="41"/>
      <c r="D56" s="41"/>
      <c r="E56" s="41"/>
      <c r="F56" s="41"/>
      <c r="G56" s="41"/>
      <c r="H56" s="41"/>
      <c r="I56" s="42"/>
      <c r="J56" s="43"/>
      <c r="K56" s="43"/>
      <c r="L56" s="43"/>
      <c r="M56" s="43"/>
      <c r="N56" s="3" t="e">
        <f t="shared" si="0"/>
        <v>#DIV/0!</v>
      </c>
    </row>
    <row r="57" spans="2:14" ht="35.1" customHeight="1" thickBot="1" x14ac:dyDescent="0.25">
      <c r="B57" s="41"/>
      <c r="C57" s="41"/>
      <c r="D57" s="41"/>
      <c r="E57" s="41"/>
      <c r="F57" s="41"/>
      <c r="G57" s="41"/>
      <c r="H57" s="41"/>
      <c r="I57" s="42"/>
      <c r="J57" s="43"/>
      <c r="K57" s="43"/>
      <c r="L57" s="43"/>
      <c r="M57" s="43"/>
      <c r="N57" s="3" t="e">
        <f t="shared" si="0"/>
        <v>#DIV/0!</v>
      </c>
    </row>
    <row r="58" spans="2:14" ht="35.1" customHeight="1" thickBot="1" x14ac:dyDescent="0.25">
      <c r="B58" s="41"/>
      <c r="C58" s="41"/>
      <c r="D58" s="41"/>
      <c r="E58" s="41"/>
      <c r="F58" s="41"/>
      <c r="G58" s="41"/>
      <c r="H58" s="41"/>
      <c r="I58" s="42"/>
      <c r="J58" s="43"/>
      <c r="K58" s="43"/>
      <c r="L58" s="43"/>
      <c r="M58" s="43"/>
      <c r="N58" s="3" t="e">
        <f t="shared" si="0"/>
        <v>#DIV/0!</v>
      </c>
    </row>
    <row r="59" spans="2:14" ht="35.1" customHeight="1" thickBot="1" x14ac:dyDescent="0.25">
      <c r="B59" s="44"/>
      <c r="C59" s="44"/>
      <c r="D59" s="44"/>
      <c r="E59" s="44"/>
      <c r="F59" s="44"/>
      <c r="G59" s="44"/>
      <c r="H59" s="44"/>
      <c r="I59" s="45"/>
      <c r="J59" s="46"/>
      <c r="K59" s="46"/>
      <c r="L59" s="46"/>
      <c r="M59" s="46"/>
      <c r="N59" s="3" t="e">
        <f t="shared" si="0"/>
        <v>#DIV/0!</v>
      </c>
    </row>
    <row r="60" spans="2:14" ht="35.1" customHeight="1" thickTop="1" thickBot="1" x14ac:dyDescent="0.25">
      <c r="B60" s="38"/>
      <c r="C60" s="38"/>
      <c r="D60" s="38"/>
      <c r="E60" s="38"/>
      <c r="F60" s="38"/>
      <c r="G60" s="38"/>
      <c r="H60" s="38"/>
      <c r="I60" s="39"/>
      <c r="J60" s="40"/>
      <c r="K60" s="40"/>
      <c r="L60" s="40"/>
      <c r="M60" s="40"/>
      <c r="N60" s="3" t="e">
        <f t="shared" si="0"/>
        <v>#DIV/0!</v>
      </c>
    </row>
    <row r="61" spans="2:14" ht="35.1" customHeight="1" thickBot="1" x14ac:dyDescent="0.25">
      <c r="B61" s="41"/>
      <c r="C61" s="41"/>
      <c r="D61" s="41"/>
      <c r="E61" s="41"/>
      <c r="F61" s="41"/>
      <c r="G61" s="41"/>
      <c r="H61" s="41"/>
      <c r="I61" s="42"/>
      <c r="J61" s="43"/>
      <c r="K61" s="43"/>
      <c r="L61" s="43"/>
      <c r="M61" s="43"/>
      <c r="N61" s="3" t="e">
        <f t="shared" si="0"/>
        <v>#DIV/0!</v>
      </c>
    </row>
    <row r="62" spans="2:14" ht="35.1" customHeight="1" thickBot="1" x14ac:dyDescent="0.25">
      <c r="B62" s="41"/>
      <c r="C62" s="41"/>
      <c r="D62" s="41"/>
      <c r="E62" s="41"/>
      <c r="F62" s="41"/>
      <c r="G62" s="41"/>
      <c r="H62" s="41"/>
      <c r="I62" s="42"/>
      <c r="J62" s="43"/>
      <c r="K62" s="43"/>
      <c r="L62" s="43"/>
      <c r="M62" s="43"/>
      <c r="N62" s="3" t="e">
        <f t="shared" si="0"/>
        <v>#DIV/0!</v>
      </c>
    </row>
    <row r="63" spans="2:14" ht="35.1" customHeight="1" thickBot="1" x14ac:dyDescent="0.25">
      <c r="B63" s="41"/>
      <c r="C63" s="41"/>
      <c r="D63" s="41"/>
      <c r="E63" s="41"/>
      <c r="F63" s="41"/>
      <c r="G63" s="41"/>
      <c r="H63" s="41"/>
      <c r="I63" s="42"/>
      <c r="J63" s="43"/>
      <c r="K63" s="43"/>
      <c r="L63" s="43"/>
      <c r="M63" s="43"/>
      <c r="N63" s="3" t="e">
        <f t="shared" si="0"/>
        <v>#DIV/0!</v>
      </c>
    </row>
    <row r="64" spans="2:14" ht="35.1" customHeight="1" thickBot="1" x14ac:dyDescent="0.25">
      <c r="B64" s="41"/>
      <c r="C64" s="41"/>
      <c r="D64" s="41"/>
      <c r="E64" s="41"/>
      <c r="F64" s="41"/>
      <c r="G64" s="41"/>
      <c r="H64" s="41"/>
      <c r="I64" s="42"/>
      <c r="J64" s="43"/>
      <c r="K64" s="43"/>
      <c r="L64" s="43"/>
      <c r="M64" s="43"/>
      <c r="N64" s="3" t="e">
        <f t="shared" si="0"/>
        <v>#DIV/0!</v>
      </c>
    </row>
    <row r="65" spans="2:14" ht="35.1" customHeight="1" thickBot="1" x14ac:dyDescent="0.25">
      <c r="B65" s="41"/>
      <c r="C65" s="41"/>
      <c r="D65" s="41"/>
      <c r="E65" s="41"/>
      <c r="F65" s="41"/>
      <c r="G65" s="41"/>
      <c r="H65" s="41"/>
      <c r="I65" s="42"/>
      <c r="J65" s="43"/>
      <c r="K65" s="43"/>
      <c r="L65" s="43"/>
      <c r="M65" s="43"/>
      <c r="N65" s="3" t="e">
        <f t="shared" si="0"/>
        <v>#DIV/0!</v>
      </c>
    </row>
    <row r="66" spans="2:14" ht="35.1" customHeight="1" thickBot="1" x14ac:dyDescent="0.25">
      <c r="B66" s="44"/>
      <c r="C66" s="44"/>
      <c r="D66" s="44"/>
      <c r="E66" s="44"/>
      <c r="F66" s="44"/>
      <c r="G66" s="44"/>
      <c r="H66" s="44"/>
      <c r="I66" s="45"/>
      <c r="J66" s="46"/>
      <c r="K66" s="46"/>
      <c r="L66" s="46"/>
      <c r="M66" s="46"/>
      <c r="N66" s="3" t="e">
        <f t="shared" si="0"/>
        <v>#DIV/0!</v>
      </c>
    </row>
    <row r="67" spans="2:14" ht="35.1" customHeight="1" thickTop="1" thickBot="1" x14ac:dyDescent="0.25">
      <c r="B67" s="38"/>
      <c r="C67" s="38"/>
      <c r="D67" s="38"/>
      <c r="E67" s="38"/>
      <c r="F67" s="38"/>
      <c r="G67" s="38"/>
      <c r="H67" s="38"/>
      <c r="I67" s="39"/>
      <c r="J67" s="40"/>
      <c r="K67" s="40"/>
      <c r="L67" s="40"/>
      <c r="M67" s="40"/>
      <c r="N67" s="3" t="e">
        <f t="shared" si="0"/>
        <v>#DIV/0!</v>
      </c>
    </row>
    <row r="68" spans="2:14" ht="35.1" customHeight="1" thickBot="1" x14ac:dyDescent="0.25">
      <c r="B68" s="41"/>
      <c r="C68" s="41"/>
      <c r="D68" s="41"/>
      <c r="E68" s="41"/>
      <c r="F68" s="41"/>
      <c r="G68" s="41"/>
      <c r="H68" s="41"/>
      <c r="I68" s="42"/>
      <c r="J68" s="43"/>
      <c r="K68" s="43"/>
      <c r="L68" s="43"/>
      <c r="M68" s="43"/>
      <c r="N68" s="3" t="e">
        <f t="shared" si="0"/>
        <v>#DIV/0!</v>
      </c>
    </row>
    <row r="69" spans="2:14" ht="35.1" customHeight="1" thickBot="1" x14ac:dyDescent="0.25">
      <c r="B69" s="41"/>
      <c r="C69" s="41"/>
      <c r="D69" s="41"/>
      <c r="E69" s="41"/>
      <c r="F69" s="41"/>
      <c r="G69" s="41"/>
      <c r="H69" s="41"/>
      <c r="I69" s="42"/>
      <c r="J69" s="43"/>
      <c r="K69" s="43"/>
      <c r="L69" s="43"/>
      <c r="M69" s="43"/>
      <c r="N69" s="3" t="e">
        <f t="shared" ref="N69:N129" si="1">J69/I69</f>
        <v>#DIV/0!</v>
      </c>
    </row>
    <row r="70" spans="2:14" ht="35.1" customHeight="1" thickBot="1" x14ac:dyDescent="0.25">
      <c r="B70" s="41"/>
      <c r="C70" s="41"/>
      <c r="D70" s="41"/>
      <c r="E70" s="41"/>
      <c r="F70" s="41"/>
      <c r="G70" s="41"/>
      <c r="H70" s="41"/>
      <c r="I70" s="42"/>
      <c r="J70" s="43"/>
      <c r="K70" s="43"/>
      <c r="L70" s="43"/>
      <c r="M70" s="43"/>
      <c r="N70" s="3" t="e">
        <f t="shared" si="1"/>
        <v>#DIV/0!</v>
      </c>
    </row>
    <row r="71" spans="2:14" ht="35.1" customHeight="1" thickBot="1" x14ac:dyDescent="0.25">
      <c r="B71" s="41"/>
      <c r="C71" s="41"/>
      <c r="D71" s="41"/>
      <c r="E71" s="41"/>
      <c r="F71" s="41"/>
      <c r="G71" s="41"/>
      <c r="H71" s="41"/>
      <c r="I71" s="42"/>
      <c r="J71" s="43"/>
      <c r="K71" s="43"/>
      <c r="L71" s="43"/>
      <c r="M71" s="43"/>
      <c r="N71" s="3" t="e">
        <f t="shared" si="1"/>
        <v>#DIV/0!</v>
      </c>
    </row>
    <row r="72" spans="2:14" ht="35.1" customHeight="1" thickBot="1" x14ac:dyDescent="0.25">
      <c r="B72" s="41"/>
      <c r="C72" s="41"/>
      <c r="D72" s="41"/>
      <c r="E72" s="41"/>
      <c r="F72" s="41"/>
      <c r="G72" s="41"/>
      <c r="H72" s="41"/>
      <c r="I72" s="42"/>
      <c r="J72" s="43"/>
      <c r="K72" s="43"/>
      <c r="L72" s="43"/>
      <c r="M72" s="43"/>
      <c r="N72" s="3" t="e">
        <f t="shared" si="1"/>
        <v>#DIV/0!</v>
      </c>
    </row>
    <row r="73" spans="2:14" ht="35.1" customHeight="1" thickBot="1" x14ac:dyDescent="0.25">
      <c r="B73" s="44"/>
      <c r="C73" s="44"/>
      <c r="D73" s="44"/>
      <c r="E73" s="44"/>
      <c r="F73" s="44"/>
      <c r="G73" s="44"/>
      <c r="H73" s="44"/>
      <c r="I73" s="45"/>
      <c r="J73" s="46"/>
      <c r="K73" s="46"/>
      <c r="L73" s="46"/>
      <c r="M73" s="46"/>
      <c r="N73" s="3" t="e">
        <f t="shared" si="1"/>
        <v>#DIV/0!</v>
      </c>
    </row>
    <row r="74" spans="2:14" ht="35.1" customHeight="1" thickTop="1" thickBot="1" x14ac:dyDescent="0.25">
      <c r="B74" s="38"/>
      <c r="C74" s="38"/>
      <c r="D74" s="38"/>
      <c r="E74" s="38"/>
      <c r="F74" s="38"/>
      <c r="G74" s="38"/>
      <c r="H74" s="38"/>
      <c r="I74" s="39"/>
      <c r="J74" s="40"/>
      <c r="K74" s="40"/>
      <c r="L74" s="40"/>
      <c r="M74" s="40"/>
      <c r="N74" s="3" t="e">
        <f t="shared" si="1"/>
        <v>#DIV/0!</v>
      </c>
    </row>
    <row r="75" spans="2:14" ht="35.1" customHeight="1" thickBot="1" x14ac:dyDescent="0.25">
      <c r="B75" s="41"/>
      <c r="C75" s="41"/>
      <c r="D75" s="41"/>
      <c r="E75" s="41"/>
      <c r="F75" s="41"/>
      <c r="G75" s="41"/>
      <c r="H75" s="41"/>
      <c r="I75" s="42"/>
      <c r="J75" s="43"/>
      <c r="K75" s="43"/>
      <c r="L75" s="43"/>
      <c r="M75" s="43"/>
      <c r="N75" s="3" t="e">
        <f t="shared" si="1"/>
        <v>#DIV/0!</v>
      </c>
    </row>
    <row r="76" spans="2:14" ht="35.1" customHeight="1" thickBot="1" x14ac:dyDescent="0.25">
      <c r="B76" s="41"/>
      <c r="C76" s="41"/>
      <c r="D76" s="41"/>
      <c r="E76" s="41"/>
      <c r="F76" s="41"/>
      <c r="G76" s="41"/>
      <c r="H76" s="41"/>
      <c r="I76" s="42"/>
      <c r="J76" s="43"/>
      <c r="K76" s="43"/>
      <c r="L76" s="43"/>
      <c r="M76" s="43"/>
      <c r="N76" s="3" t="e">
        <f t="shared" si="1"/>
        <v>#DIV/0!</v>
      </c>
    </row>
    <row r="77" spans="2:14" ht="35.1" customHeight="1" thickBot="1" x14ac:dyDescent="0.25">
      <c r="B77" s="41"/>
      <c r="C77" s="41"/>
      <c r="D77" s="41"/>
      <c r="E77" s="41"/>
      <c r="F77" s="41"/>
      <c r="G77" s="41"/>
      <c r="H77" s="41"/>
      <c r="I77" s="42"/>
      <c r="J77" s="43"/>
      <c r="K77" s="43"/>
      <c r="L77" s="43"/>
      <c r="M77" s="43"/>
      <c r="N77" s="3" t="e">
        <f t="shared" si="1"/>
        <v>#DIV/0!</v>
      </c>
    </row>
    <row r="78" spans="2:14" ht="35.1" customHeight="1" thickBot="1" x14ac:dyDescent="0.25">
      <c r="B78" s="41"/>
      <c r="C78" s="41"/>
      <c r="D78" s="41"/>
      <c r="E78" s="41"/>
      <c r="F78" s="41"/>
      <c r="G78" s="41"/>
      <c r="H78" s="41"/>
      <c r="I78" s="42"/>
      <c r="J78" s="43"/>
      <c r="K78" s="43"/>
      <c r="L78" s="43"/>
      <c r="M78" s="43"/>
      <c r="N78" s="3" t="e">
        <f t="shared" si="1"/>
        <v>#DIV/0!</v>
      </c>
    </row>
    <row r="79" spans="2:14" ht="35.1" customHeight="1" thickBot="1" x14ac:dyDescent="0.25">
      <c r="B79" s="41"/>
      <c r="C79" s="41"/>
      <c r="D79" s="41"/>
      <c r="E79" s="41"/>
      <c r="F79" s="41"/>
      <c r="G79" s="41"/>
      <c r="H79" s="41"/>
      <c r="I79" s="42"/>
      <c r="J79" s="43"/>
      <c r="K79" s="43"/>
      <c r="L79" s="43"/>
      <c r="M79" s="43"/>
      <c r="N79" s="3" t="e">
        <f t="shared" si="1"/>
        <v>#DIV/0!</v>
      </c>
    </row>
    <row r="80" spans="2:14" ht="35.1" customHeight="1" thickBot="1" x14ac:dyDescent="0.25">
      <c r="B80" s="44"/>
      <c r="C80" s="44"/>
      <c r="D80" s="44"/>
      <c r="E80" s="44"/>
      <c r="F80" s="44"/>
      <c r="G80" s="44"/>
      <c r="H80" s="44"/>
      <c r="I80" s="45"/>
      <c r="J80" s="46"/>
      <c r="K80" s="46"/>
      <c r="L80" s="46"/>
      <c r="M80" s="46"/>
      <c r="N80" s="3" t="e">
        <f t="shared" si="1"/>
        <v>#DIV/0!</v>
      </c>
    </row>
    <row r="81" spans="2:14" ht="35.1" customHeight="1" thickTop="1" thickBot="1" x14ac:dyDescent="0.25">
      <c r="B81" s="38"/>
      <c r="C81" s="38"/>
      <c r="D81" s="38"/>
      <c r="E81" s="38"/>
      <c r="F81" s="38"/>
      <c r="G81" s="38"/>
      <c r="H81" s="38"/>
      <c r="I81" s="39"/>
      <c r="J81" s="40"/>
      <c r="K81" s="40"/>
      <c r="L81" s="40"/>
      <c r="M81" s="40"/>
      <c r="N81" s="3" t="e">
        <f t="shared" si="1"/>
        <v>#DIV/0!</v>
      </c>
    </row>
    <row r="82" spans="2:14" ht="35.1" customHeight="1" thickBot="1" x14ac:dyDescent="0.25">
      <c r="B82" s="41"/>
      <c r="C82" s="41"/>
      <c r="D82" s="41"/>
      <c r="E82" s="41"/>
      <c r="F82" s="41"/>
      <c r="G82" s="41"/>
      <c r="H82" s="41"/>
      <c r="I82" s="42"/>
      <c r="J82" s="43"/>
      <c r="K82" s="43"/>
      <c r="L82" s="43"/>
      <c r="M82" s="43"/>
      <c r="N82" s="3" t="e">
        <f t="shared" si="1"/>
        <v>#DIV/0!</v>
      </c>
    </row>
    <row r="83" spans="2:14" ht="35.1" customHeight="1" thickBot="1" x14ac:dyDescent="0.25">
      <c r="B83" s="41"/>
      <c r="C83" s="41"/>
      <c r="D83" s="41"/>
      <c r="E83" s="41"/>
      <c r="F83" s="41"/>
      <c r="G83" s="41"/>
      <c r="H83" s="41"/>
      <c r="I83" s="42"/>
      <c r="J83" s="43"/>
      <c r="K83" s="43"/>
      <c r="L83" s="43"/>
      <c r="M83" s="43"/>
      <c r="N83" s="3" t="e">
        <f t="shared" si="1"/>
        <v>#DIV/0!</v>
      </c>
    </row>
    <row r="84" spans="2:14" ht="35.1" customHeight="1" thickBot="1" x14ac:dyDescent="0.25">
      <c r="B84" s="41"/>
      <c r="C84" s="41"/>
      <c r="D84" s="41"/>
      <c r="E84" s="41"/>
      <c r="F84" s="41"/>
      <c r="G84" s="41"/>
      <c r="H84" s="41"/>
      <c r="I84" s="42"/>
      <c r="J84" s="43"/>
      <c r="K84" s="43"/>
      <c r="L84" s="43"/>
      <c r="M84" s="43"/>
      <c r="N84" s="3" t="e">
        <f t="shared" si="1"/>
        <v>#DIV/0!</v>
      </c>
    </row>
    <row r="85" spans="2:14" ht="35.1" customHeight="1" thickBot="1" x14ac:dyDescent="0.25">
      <c r="B85" s="41"/>
      <c r="C85" s="41"/>
      <c r="D85" s="41"/>
      <c r="E85" s="41"/>
      <c r="F85" s="41"/>
      <c r="G85" s="41"/>
      <c r="H85" s="41"/>
      <c r="I85" s="42"/>
      <c r="J85" s="43"/>
      <c r="K85" s="43"/>
      <c r="L85" s="43"/>
      <c r="M85" s="43"/>
      <c r="N85" s="3" t="e">
        <f t="shared" si="1"/>
        <v>#DIV/0!</v>
      </c>
    </row>
    <row r="86" spans="2:14" ht="35.1" customHeight="1" thickBot="1" x14ac:dyDescent="0.25">
      <c r="B86" s="41"/>
      <c r="C86" s="41"/>
      <c r="D86" s="41"/>
      <c r="E86" s="41"/>
      <c r="F86" s="41"/>
      <c r="G86" s="41"/>
      <c r="H86" s="41"/>
      <c r="I86" s="42"/>
      <c r="J86" s="43"/>
      <c r="K86" s="43"/>
      <c r="L86" s="43"/>
      <c r="M86" s="43"/>
      <c r="N86" s="3" t="e">
        <f t="shared" si="1"/>
        <v>#DIV/0!</v>
      </c>
    </row>
    <row r="87" spans="2:14" ht="35.1" customHeight="1" thickBot="1" x14ac:dyDescent="0.25">
      <c r="B87" s="44"/>
      <c r="C87" s="44"/>
      <c r="D87" s="44"/>
      <c r="E87" s="44"/>
      <c r="F87" s="44"/>
      <c r="G87" s="44"/>
      <c r="H87" s="44"/>
      <c r="I87" s="45"/>
      <c r="J87" s="46"/>
      <c r="K87" s="46"/>
      <c r="L87" s="46"/>
      <c r="M87" s="46"/>
      <c r="N87" s="3" t="e">
        <f t="shared" si="1"/>
        <v>#DIV/0!</v>
      </c>
    </row>
    <row r="88" spans="2:14" ht="35.1" customHeight="1" thickTop="1" thickBot="1" x14ac:dyDescent="0.25">
      <c r="B88" s="38"/>
      <c r="C88" s="38"/>
      <c r="D88" s="38"/>
      <c r="E88" s="38"/>
      <c r="F88" s="38"/>
      <c r="G88" s="38"/>
      <c r="H88" s="38"/>
      <c r="I88" s="39"/>
      <c r="J88" s="40"/>
      <c r="K88" s="40"/>
      <c r="L88" s="40"/>
      <c r="M88" s="40"/>
      <c r="N88" s="3" t="e">
        <f t="shared" si="1"/>
        <v>#DIV/0!</v>
      </c>
    </row>
    <row r="89" spans="2:14" ht="35.1" customHeight="1" thickBot="1" x14ac:dyDescent="0.25">
      <c r="B89" s="41"/>
      <c r="C89" s="41"/>
      <c r="D89" s="41"/>
      <c r="E89" s="41"/>
      <c r="F89" s="41"/>
      <c r="G89" s="41"/>
      <c r="H89" s="41"/>
      <c r="I89" s="42"/>
      <c r="J89" s="43"/>
      <c r="K89" s="43"/>
      <c r="L89" s="43"/>
      <c r="M89" s="43"/>
      <c r="N89" s="3" t="e">
        <f t="shared" si="1"/>
        <v>#DIV/0!</v>
      </c>
    </row>
    <row r="90" spans="2:14" ht="35.1" customHeight="1" thickBot="1" x14ac:dyDescent="0.25">
      <c r="B90" s="41"/>
      <c r="C90" s="41"/>
      <c r="D90" s="41"/>
      <c r="E90" s="41"/>
      <c r="F90" s="41"/>
      <c r="G90" s="41"/>
      <c r="H90" s="41"/>
      <c r="I90" s="42"/>
      <c r="J90" s="43"/>
      <c r="K90" s="43"/>
      <c r="L90" s="43"/>
      <c r="M90" s="43"/>
      <c r="N90" s="3" t="e">
        <f t="shared" si="1"/>
        <v>#DIV/0!</v>
      </c>
    </row>
    <row r="91" spans="2:14" ht="35.1" customHeight="1" thickBot="1" x14ac:dyDescent="0.25">
      <c r="B91" s="41"/>
      <c r="C91" s="41"/>
      <c r="D91" s="41"/>
      <c r="E91" s="41"/>
      <c r="F91" s="41"/>
      <c r="G91" s="41"/>
      <c r="H91" s="41"/>
      <c r="I91" s="42"/>
      <c r="J91" s="43"/>
      <c r="K91" s="43"/>
      <c r="L91" s="43"/>
      <c r="M91" s="43"/>
      <c r="N91" s="3" t="e">
        <f t="shared" si="1"/>
        <v>#DIV/0!</v>
      </c>
    </row>
    <row r="92" spans="2:14" ht="35.1" customHeight="1" thickBot="1" x14ac:dyDescent="0.25">
      <c r="B92" s="41"/>
      <c r="C92" s="41"/>
      <c r="D92" s="41"/>
      <c r="E92" s="41"/>
      <c r="F92" s="41"/>
      <c r="G92" s="41"/>
      <c r="H92" s="41"/>
      <c r="I92" s="42"/>
      <c r="J92" s="43"/>
      <c r="K92" s="43"/>
      <c r="L92" s="43"/>
      <c r="M92" s="43"/>
      <c r="N92" s="3" t="e">
        <f t="shared" si="1"/>
        <v>#DIV/0!</v>
      </c>
    </row>
    <row r="93" spans="2:14" ht="35.1" customHeight="1" thickBot="1" x14ac:dyDescent="0.25">
      <c r="B93" s="41"/>
      <c r="C93" s="41"/>
      <c r="D93" s="41"/>
      <c r="E93" s="41"/>
      <c r="F93" s="41"/>
      <c r="G93" s="41"/>
      <c r="H93" s="41"/>
      <c r="I93" s="42"/>
      <c r="J93" s="43"/>
      <c r="K93" s="43"/>
      <c r="L93" s="43"/>
      <c r="M93" s="43"/>
      <c r="N93" s="3" t="e">
        <f t="shared" si="1"/>
        <v>#DIV/0!</v>
      </c>
    </row>
    <row r="94" spans="2:14" ht="15" customHeight="1" thickBot="1" x14ac:dyDescent="0.25">
      <c r="B94" s="44"/>
      <c r="C94" s="44"/>
      <c r="D94" s="44"/>
      <c r="E94" s="44"/>
      <c r="F94" s="44"/>
      <c r="G94" s="44"/>
      <c r="H94" s="44"/>
      <c r="I94" s="45"/>
      <c r="J94" s="46"/>
      <c r="K94" s="46"/>
      <c r="L94" s="46"/>
      <c r="M94" s="46"/>
      <c r="N94" s="3" t="e">
        <f t="shared" si="1"/>
        <v>#DIV/0!</v>
      </c>
    </row>
    <row r="95" spans="2:14" ht="15" customHeight="1" thickTop="1" thickBot="1" x14ac:dyDescent="0.25">
      <c r="B95" s="38"/>
      <c r="C95" s="38"/>
      <c r="D95" s="38"/>
      <c r="E95" s="38"/>
      <c r="F95" s="38"/>
      <c r="G95" s="38"/>
      <c r="H95" s="38"/>
      <c r="I95" s="39"/>
      <c r="J95" s="40"/>
      <c r="K95" s="40"/>
      <c r="L95" s="40"/>
      <c r="M95" s="40"/>
      <c r="N95" s="3" t="e">
        <f t="shared" si="1"/>
        <v>#DIV/0!</v>
      </c>
    </row>
    <row r="96" spans="2:14" ht="15" customHeight="1" thickBot="1" x14ac:dyDescent="0.25">
      <c r="B96" s="41"/>
      <c r="C96" s="41"/>
      <c r="D96" s="41"/>
      <c r="E96" s="41"/>
      <c r="F96" s="41"/>
      <c r="G96" s="41"/>
      <c r="H96" s="41"/>
      <c r="I96" s="42"/>
      <c r="J96" s="43"/>
      <c r="K96" s="43"/>
      <c r="L96" s="43"/>
      <c r="M96" s="43"/>
      <c r="N96" s="3" t="e">
        <f t="shared" si="1"/>
        <v>#DIV/0!</v>
      </c>
    </row>
    <row r="97" spans="2:14" ht="15" customHeight="1" thickBot="1" x14ac:dyDescent="0.25">
      <c r="B97" s="41"/>
      <c r="C97" s="41"/>
      <c r="D97" s="41"/>
      <c r="E97" s="41"/>
      <c r="F97" s="41"/>
      <c r="G97" s="41"/>
      <c r="H97" s="41"/>
      <c r="I97" s="42"/>
      <c r="J97" s="43"/>
      <c r="K97" s="43"/>
      <c r="L97" s="43"/>
      <c r="M97" s="43"/>
      <c r="N97" s="3" t="e">
        <f t="shared" si="1"/>
        <v>#DIV/0!</v>
      </c>
    </row>
    <row r="98" spans="2:14" ht="15" customHeight="1" thickBot="1" x14ac:dyDescent="0.25">
      <c r="B98" s="41"/>
      <c r="C98" s="41"/>
      <c r="D98" s="41"/>
      <c r="E98" s="41"/>
      <c r="F98" s="41"/>
      <c r="G98" s="41"/>
      <c r="H98" s="41"/>
      <c r="I98" s="42"/>
      <c r="J98" s="43"/>
      <c r="K98" s="43"/>
      <c r="L98" s="43"/>
      <c r="M98" s="43"/>
      <c r="N98" s="3" t="e">
        <f t="shared" si="1"/>
        <v>#DIV/0!</v>
      </c>
    </row>
    <row r="99" spans="2:14" ht="15.75" customHeight="1" thickBot="1" x14ac:dyDescent="0.25">
      <c r="B99" s="41"/>
      <c r="C99" s="41"/>
      <c r="D99" s="41"/>
      <c r="E99" s="41"/>
      <c r="F99" s="41"/>
      <c r="G99" s="41"/>
      <c r="H99" s="41"/>
      <c r="I99" s="42"/>
      <c r="J99" s="43"/>
      <c r="K99" s="43"/>
      <c r="L99" s="43"/>
      <c r="M99" s="43"/>
      <c r="N99" s="3" t="e">
        <f t="shared" si="1"/>
        <v>#DIV/0!</v>
      </c>
    </row>
    <row r="100" spans="2:14" ht="15" customHeight="1" thickBot="1" x14ac:dyDescent="0.25">
      <c r="B100" s="41"/>
      <c r="C100" s="41"/>
      <c r="D100" s="41"/>
      <c r="E100" s="41"/>
      <c r="F100" s="41"/>
      <c r="G100" s="41"/>
      <c r="H100" s="41"/>
      <c r="I100" s="42"/>
      <c r="J100" s="43"/>
      <c r="K100" s="43"/>
      <c r="L100" s="43"/>
      <c r="M100" s="43"/>
      <c r="N100" s="3" t="e">
        <f t="shared" si="1"/>
        <v>#DIV/0!</v>
      </c>
    </row>
    <row r="101" spans="2:14" ht="15" customHeight="1" thickBot="1" x14ac:dyDescent="0.25">
      <c r="B101" s="44"/>
      <c r="C101" s="44"/>
      <c r="D101" s="44"/>
      <c r="E101" s="44"/>
      <c r="F101" s="44"/>
      <c r="G101" s="44"/>
      <c r="H101" s="44"/>
      <c r="I101" s="45"/>
      <c r="J101" s="46"/>
      <c r="K101" s="46"/>
      <c r="L101" s="46"/>
      <c r="M101" s="46"/>
      <c r="N101" s="3" t="e">
        <f t="shared" si="1"/>
        <v>#DIV/0!</v>
      </c>
    </row>
    <row r="102" spans="2:14" ht="15" customHeight="1" thickTop="1" thickBot="1" x14ac:dyDescent="0.25">
      <c r="B102" s="38"/>
      <c r="C102" s="38"/>
      <c r="D102" s="38"/>
      <c r="E102" s="38"/>
      <c r="F102" s="38"/>
      <c r="G102" s="38"/>
      <c r="H102" s="38"/>
      <c r="I102" s="39"/>
      <c r="J102" s="40"/>
      <c r="K102" s="40"/>
      <c r="L102" s="40"/>
      <c r="M102" s="40"/>
      <c r="N102" s="3" t="e">
        <f t="shared" si="1"/>
        <v>#DIV/0!</v>
      </c>
    </row>
    <row r="103" spans="2:14" ht="15" customHeight="1" thickBot="1" x14ac:dyDescent="0.25">
      <c r="B103" s="41"/>
      <c r="C103" s="41"/>
      <c r="D103" s="41"/>
      <c r="E103" s="41"/>
      <c r="F103" s="41"/>
      <c r="G103" s="41"/>
      <c r="H103" s="41"/>
      <c r="I103" s="42"/>
      <c r="J103" s="43"/>
      <c r="K103" s="43"/>
      <c r="L103" s="43"/>
      <c r="M103" s="43"/>
      <c r="N103" s="3" t="e">
        <f t="shared" si="1"/>
        <v>#DIV/0!</v>
      </c>
    </row>
    <row r="104" spans="2:14" ht="15" customHeight="1" thickBot="1" x14ac:dyDescent="0.25">
      <c r="B104" s="41"/>
      <c r="C104" s="41"/>
      <c r="D104" s="41"/>
      <c r="E104" s="41"/>
      <c r="F104" s="41"/>
      <c r="G104" s="41"/>
      <c r="H104" s="41"/>
      <c r="I104" s="42"/>
      <c r="J104" s="43"/>
      <c r="K104" s="43"/>
      <c r="L104" s="43"/>
      <c r="M104" s="43"/>
      <c r="N104" s="3" t="e">
        <f t="shared" si="1"/>
        <v>#DIV/0!</v>
      </c>
    </row>
    <row r="105" spans="2:14" ht="15.75" customHeight="1" thickBot="1" x14ac:dyDescent="0.25">
      <c r="B105" s="41"/>
      <c r="C105" s="41"/>
      <c r="D105" s="41"/>
      <c r="E105" s="41"/>
      <c r="F105" s="41"/>
      <c r="G105" s="41"/>
      <c r="H105" s="41"/>
      <c r="I105" s="42"/>
      <c r="J105" s="43"/>
      <c r="K105" s="43"/>
      <c r="L105" s="43"/>
      <c r="M105" s="43"/>
      <c r="N105" s="3" t="e">
        <f t="shared" si="1"/>
        <v>#DIV/0!</v>
      </c>
    </row>
    <row r="106" spans="2:14" ht="15" customHeight="1" thickBot="1" x14ac:dyDescent="0.25">
      <c r="B106" s="41"/>
      <c r="C106" s="41"/>
      <c r="D106" s="41"/>
      <c r="E106" s="41"/>
      <c r="F106" s="41"/>
      <c r="G106" s="41"/>
      <c r="H106" s="41"/>
      <c r="I106" s="42"/>
      <c r="J106" s="43"/>
      <c r="K106" s="43"/>
      <c r="L106" s="43"/>
      <c r="M106" s="43"/>
      <c r="N106" s="3" t="e">
        <f t="shared" si="1"/>
        <v>#DIV/0!</v>
      </c>
    </row>
    <row r="107" spans="2:14" ht="15" customHeight="1" thickBot="1" x14ac:dyDescent="0.25">
      <c r="B107" s="41"/>
      <c r="C107" s="41"/>
      <c r="D107" s="41"/>
      <c r="E107" s="41"/>
      <c r="F107" s="41"/>
      <c r="G107" s="41"/>
      <c r="H107" s="41"/>
      <c r="I107" s="42"/>
      <c r="J107" s="43"/>
      <c r="K107" s="43"/>
      <c r="L107" s="43"/>
      <c r="M107" s="43"/>
      <c r="N107" s="3" t="e">
        <f t="shared" si="1"/>
        <v>#DIV/0!</v>
      </c>
    </row>
    <row r="108" spans="2:14" ht="15" customHeight="1" thickBot="1" x14ac:dyDescent="0.25">
      <c r="B108" s="44"/>
      <c r="C108" s="44"/>
      <c r="D108" s="44"/>
      <c r="E108" s="44"/>
      <c r="F108" s="44"/>
      <c r="G108" s="44"/>
      <c r="H108" s="44"/>
      <c r="I108" s="45"/>
      <c r="J108" s="46"/>
      <c r="K108" s="46"/>
      <c r="L108" s="46"/>
      <c r="M108" s="46"/>
      <c r="N108" s="3" t="e">
        <f t="shared" si="1"/>
        <v>#DIV/0!</v>
      </c>
    </row>
    <row r="109" spans="2:14" ht="15" customHeight="1" thickTop="1" thickBot="1" x14ac:dyDescent="0.25">
      <c r="B109" s="38"/>
      <c r="C109" s="38"/>
      <c r="D109" s="38"/>
      <c r="E109" s="38"/>
      <c r="F109" s="38"/>
      <c r="G109" s="38"/>
      <c r="H109" s="38"/>
      <c r="I109" s="39"/>
      <c r="J109" s="40"/>
      <c r="K109" s="40"/>
      <c r="L109" s="40"/>
      <c r="M109" s="40"/>
      <c r="N109" s="3" t="e">
        <f t="shared" si="1"/>
        <v>#DIV/0!</v>
      </c>
    </row>
    <row r="110" spans="2:14" ht="15" customHeight="1" thickBot="1" x14ac:dyDescent="0.25">
      <c r="B110" s="41"/>
      <c r="C110" s="41"/>
      <c r="D110" s="41"/>
      <c r="E110" s="41"/>
      <c r="F110" s="41"/>
      <c r="G110" s="41"/>
      <c r="H110" s="41"/>
      <c r="I110" s="42"/>
      <c r="J110" s="43"/>
      <c r="K110" s="43"/>
      <c r="L110" s="43"/>
      <c r="M110" s="43"/>
      <c r="N110" s="3" t="e">
        <f t="shared" si="1"/>
        <v>#DIV/0!</v>
      </c>
    </row>
    <row r="111" spans="2:14" ht="15.75" customHeight="1" thickBot="1" x14ac:dyDescent="0.25">
      <c r="B111" s="41"/>
      <c r="C111" s="41"/>
      <c r="D111" s="41"/>
      <c r="E111" s="41"/>
      <c r="F111" s="41"/>
      <c r="G111" s="41"/>
      <c r="H111" s="41"/>
      <c r="I111" s="42"/>
      <c r="J111" s="43"/>
      <c r="K111" s="43"/>
      <c r="L111" s="43"/>
      <c r="M111" s="43"/>
      <c r="N111" s="3" t="e">
        <f t="shared" si="1"/>
        <v>#DIV/0!</v>
      </c>
    </row>
    <row r="112" spans="2:14" ht="15" customHeight="1" thickBot="1" x14ac:dyDescent="0.25">
      <c r="B112" s="41"/>
      <c r="C112" s="41"/>
      <c r="D112" s="41"/>
      <c r="E112" s="41"/>
      <c r="F112" s="41"/>
      <c r="G112" s="41"/>
      <c r="H112" s="41"/>
      <c r="I112" s="42"/>
      <c r="J112" s="43"/>
      <c r="K112" s="43"/>
      <c r="L112" s="43"/>
      <c r="M112" s="43"/>
      <c r="N112" s="3" t="e">
        <f t="shared" si="1"/>
        <v>#DIV/0!</v>
      </c>
    </row>
    <row r="113" spans="2:14" ht="15" customHeight="1" thickBot="1" x14ac:dyDescent="0.25">
      <c r="B113" s="41"/>
      <c r="C113" s="41"/>
      <c r="D113" s="41"/>
      <c r="E113" s="41"/>
      <c r="F113" s="41"/>
      <c r="G113" s="41"/>
      <c r="H113" s="41"/>
      <c r="I113" s="42"/>
      <c r="J113" s="43"/>
      <c r="K113" s="43"/>
      <c r="L113" s="43"/>
      <c r="M113" s="43"/>
      <c r="N113" s="3" t="e">
        <f t="shared" si="1"/>
        <v>#DIV/0!</v>
      </c>
    </row>
    <row r="114" spans="2:14" ht="15" customHeight="1" thickBot="1" x14ac:dyDescent="0.25">
      <c r="B114" s="41"/>
      <c r="C114" s="41"/>
      <c r="D114" s="41"/>
      <c r="E114" s="41"/>
      <c r="F114" s="41"/>
      <c r="G114" s="41"/>
      <c r="H114" s="41"/>
      <c r="I114" s="42"/>
      <c r="J114" s="43"/>
      <c r="K114" s="43"/>
      <c r="L114" s="43"/>
      <c r="M114" s="43"/>
      <c r="N114" s="3" t="e">
        <f t="shared" si="1"/>
        <v>#DIV/0!</v>
      </c>
    </row>
    <row r="115" spans="2:14" ht="15" customHeight="1" thickBot="1" x14ac:dyDescent="0.25">
      <c r="B115" s="44"/>
      <c r="C115" s="44"/>
      <c r="D115" s="44"/>
      <c r="E115" s="44"/>
      <c r="F115" s="44"/>
      <c r="G115" s="44"/>
      <c r="H115" s="44"/>
      <c r="I115" s="45"/>
      <c r="J115" s="46"/>
      <c r="K115" s="46"/>
      <c r="L115" s="46"/>
      <c r="M115" s="46"/>
      <c r="N115" s="3" t="e">
        <f t="shared" si="1"/>
        <v>#DIV/0!</v>
      </c>
    </row>
    <row r="116" spans="2:14" ht="15" customHeight="1" thickTop="1" thickBot="1" x14ac:dyDescent="0.25">
      <c r="B116" s="38"/>
      <c r="C116" s="38"/>
      <c r="D116" s="38"/>
      <c r="E116" s="38"/>
      <c r="F116" s="38"/>
      <c r="G116" s="38"/>
      <c r="H116" s="38"/>
      <c r="I116" s="39"/>
      <c r="J116" s="40"/>
      <c r="K116" s="40"/>
      <c r="L116" s="40"/>
      <c r="M116" s="40"/>
      <c r="N116" s="3" t="e">
        <f t="shared" si="1"/>
        <v>#DIV/0!</v>
      </c>
    </row>
    <row r="117" spans="2:14" ht="15.75" customHeight="1" thickBot="1" x14ac:dyDescent="0.25">
      <c r="B117" s="41"/>
      <c r="C117" s="41"/>
      <c r="D117" s="41"/>
      <c r="E117" s="41"/>
      <c r="F117" s="41"/>
      <c r="G117" s="41"/>
      <c r="H117" s="41"/>
      <c r="I117" s="42"/>
      <c r="J117" s="43"/>
      <c r="K117" s="43"/>
      <c r="L117" s="43"/>
      <c r="M117" s="43"/>
      <c r="N117" s="3" t="e">
        <f t="shared" si="1"/>
        <v>#DIV/0!</v>
      </c>
    </row>
    <row r="118" spans="2:14" ht="15" customHeight="1" thickBot="1" x14ac:dyDescent="0.25">
      <c r="B118" s="41"/>
      <c r="C118" s="41"/>
      <c r="D118" s="41"/>
      <c r="E118" s="41"/>
      <c r="F118" s="41"/>
      <c r="G118" s="41"/>
      <c r="H118" s="41"/>
      <c r="I118" s="42"/>
      <c r="J118" s="43"/>
      <c r="K118" s="43"/>
      <c r="L118" s="43"/>
      <c r="M118" s="43"/>
      <c r="N118" s="3" t="e">
        <f t="shared" si="1"/>
        <v>#DIV/0!</v>
      </c>
    </row>
    <row r="119" spans="2:14" ht="15" customHeight="1" thickBot="1" x14ac:dyDescent="0.25">
      <c r="B119" s="41"/>
      <c r="C119" s="41"/>
      <c r="D119" s="41"/>
      <c r="E119" s="41"/>
      <c r="F119" s="41"/>
      <c r="G119" s="41"/>
      <c r="H119" s="41"/>
      <c r="I119" s="42"/>
      <c r="J119" s="43"/>
      <c r="K119" s="43"/>
      <c r="L119" s="43"/>
      <c r="M119" s="43"/>
      <c r="N119" s="3" t="e">
        <f t="shared" si="1"/>
        <v>#DIV/0!</v>
      </c>
    </row>
    <row r="120" spans="2:14" ht="15" customHeight="1" thickBot="1" x14ac:dyDescent="0.25">
      <c r="B120" s="41"/>
      <c r="C120" s="41"/>
      <c r="D120" s="41"/>
      <c r="E120" s="41"/>
      <c r="F120" s="41"/>
      <c r="G120" s="41"/>
      <c r="H120" s="41"/>
      <c r="I120" s="42"/>
      <c r="J120" s="43"/>
      <c r="K120" s="43"/>
      <c r="L120" s="43"/>
      <c r="M120" s="43"/>
      <c r="N120" s="3" t="e">
        <f t="shared" si="1"/>
        <v>#DIV/0!</v>
      </c>
    </row>
    <row r="121" spans="2:14" ht="15" customHeight="1" thickBot="1" x14ac:dyDescent="0.25">
      <c r="B121" s="41"/>
      <c r="C121" s="41"/>
      <c r="D121" s="41"/>
      <c r="E121" s="41"/>
      <c r="F121" s="41"/>
      <c r="G121" s="41"/>
      <c r="H121" s="41"/>
      <c r="I121" s="42"/>
      <c r="J121" s="43"/>
      <c r="K121" s="43"/>
      <c r="L121" s="43"/>
      <c r="M121" s="43"/>
      <c r="N121" s="3" t="e">
        <f t="shared" si="1"/>
        <v>#DIV/0!</v>
      </c>
    </row>
    <row r="122" spans="2:14" ht="15" customHeight="1" thickBot="1" x14ac:dyDescent="0.25">
      <c r="B122" s="44"/>
      <c r="C122" s="44"/>
      <c r="D122" s="44"/>
      <c r="E122" s="44"/>
      <c r="F122" s="44"/>
      <c r="G122" s="44"/>
      <c r="H122" s="44"/>
      <c r="I122" s="45"/>
      <c r="J122" s="46"/>
      <c r="K122" s="46"/>
      <c r="L122" s="46"/>
      <c r="M122" s="46"/>
      <c r="N122" s="3" t="e">
        <f t="shared" si="1"/>
        <v>#DIV/0!</v>
      </c>
    </row>
    <row r="123" spans="2:14" ht="15.75" customHeight="1" thickTop="1" thickBot="1" x14ac:dyDescent="0.25">
      <c r="B123" s="38"/>
      <c r="C123" s="38"/>
      <c r="D123" s="38"/>
      <c r="E123" s="38"/>
      <c r="F123" s="38"/>
      <c r="G123" s="38"/>
      <c r="H123" s="38"/>
      <c r="I123" s="39"/>
      <c r="J123" s="40"/>
      <c r="K123" s="40"/>
      <c r="L123" s="40"/>
      <c r="M123" s="40"/>
      <c r="N123" s="3" t="e">
        <f t="shared" si="1"/>
        <v>#DIV/0!</v>
      </c>
    </row>
    <row r="124" spans="2:14" ht="15.75" customHeight="1" thickBot="1" x14ac:dyDescent="0.25">
      <c r="B124" s="41"/>
      <c r="C124" s="41"/>
      <c r="D124" s="41"/>
      <c r="E124" s="41"/>
      <c r="F124" s="41"/>
      <c r="G124" s="41"/>
      <c r="H124" s="41"/>
      <c r="I124" s="42"/>
      <c r="J124" s="43"/>
      <c r="K124" s="43"/>
      <c r="L124" s="43"/>
      <c r="M124" s="43"/>
      <c r="N124" s="3" t="e">
        <f t="shared" si="1"/>
        <v>#DIV/0!</v>
      </c>
    </row>
    <row r="125" spans="2:14" ht="15" customHeight="1" thickBot="1" x14ac:dyDescent="0.25">
      <c r="B125" s="41"/>
      <c r="C125" s="41"/>
      <c r="D125" s="41"/>
      <c r="E125" s="41"/>
      <c r="F125" s="41"/>
      <c r="G125" s="41"/>
      <c r="H125" s="41"/>
      <c r="I125" s="42"/>
      <c r="J125" s="43"/>
      <c r="K125" s="43"/>
      <c r="L125" s="43"/>
      <c r="M125" s="43"/>
      <c r="N125" s="3" t="e">
        <f t="shared" si="1"/>
        <v>#DIV/0!</v>
      </c>
    </row>
    <row r="126" spans="2:14" ht="15" customHeight="1" thickBot="1" x14ac:dyDescent="0.25">
      <c r="B126" s="41"/>
      <c r="C126" s="41"/>
      <c r="D126" s="41"/>
      <c r="E126" s="41"/>
      <c r="F126" s="41"/>
      <c r="G126" s="41"/>
      <c r="H126" s="41"/>
      <c r="I126" s="42"/>
      <c r="J126" s="43"/>
      <c r="K126" s="43"/>
      <c r="L126" s="43"/>
      <c r="M126" s="43"/>
      <c r="N126" s="3" t="e">
        <f t="shared" si="1"/>
        <v>#DIV/0!</v>
      </c>
    </row>
    <row r="127" spans="2:14" ht="15" customHeight="1" thickBot="1" x14ac:dyDescent="0.25">
      <c r="B127" s="41"/>
      <c r="C127" s="41"/>
      <c r="D127" s="41"/>
      <c r="E127" s="41"/>
      <c r="F127" s="41"/>
      <c r="G127" s="41"/>
      <c r="H127" s="41"/>
      <c r="I127" s="42"/>
      <c r="J127" s="43"/>
      <c r="K127" s="43"/>
      <c r="L127" s="43"/>
      <c r="M127" s="43"/>
      <c r="N127" s="3" t="e">
        <f t="shared" si="1"/>
        <v>#DIV/0!</v>
      </c>
    </row>
    <row r="128" spans="2:14" ht="15" customHeight="1" thickBot="1" x14ac:dyDescent="0.25">
      <c r="B128" s="41"/>
      <c r="C128" s="41"/>
      <c r="D128" s="41"/>
      <c r="E128" s="41"/>
      <c r="F128" s="41"/>
      <c r="G128" s="41"/>
      <c r="H128" s="41"/>
      <c r="I128" s="42"/>
      <c r="J128" s="43"/>
      <c r="K128" s="43"/>
      <c r="L128" s="43"/>
      <c r="M128" s="43"/>
      <c r="N128" s="3" t="e">
        <f t="shared" si="1"/>
        <v>#DIV/0!</v>
      </c>
    </row>
    <row r="129" spans="2:14" ht="15.75" customHeight="1" thickBot="1" x14ac:dyDescent="0.25">
      <c r="B129" s="44"/>
      <c r="C129" s="44"/>
      <c r="D129" s="44"/>
      <c r="E129" s="44"/>
      <c r="F129" s="44"/>
      <c r="G129" s="44"/>
      <c r="H129" s="44"/>
      <c r="I129" s="45"/>
      <c r="J129" s="46"/>
      <c r="K129" s="46"/>
      <c r="L129" s="46"/>
      <c r="M129" s="46"/>
      <c r="N129" s="3" t="e">
        <f t="shared" si="1"/>
        <v>#DIV/0!</v>
      </c>
    </row>
    <row r="130" spans="2:14" ht="15" customHeight="1" thickTop="1" x14ac:dyDescent="0.2"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2:14" ht="15" customHeight="1" x14ac:dyDescent="0.2"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2:14" ht="15" customHeight="1" x14ac:dyDescent="0.2"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2:14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2:14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2:14" ht="15.7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2:14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2:14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2:14" ht="15" customHeight="1" x14ac:dyDescent="0.2"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2:14" ht="15" customHeight="1" x14ac:dyDescent="0.2"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2:14" ht="15" customHeight="1" x14ac:dyDescent="0.2"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2:14" ht="15.75" customHeight="1" x14ac:dyDescent="0.2"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2:14" ht="15" customHeight="1" x14ac:dyDescent="0.2"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2:14" ht="15" customHeight="1" x14ac:dyDescent="0.2"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2:14" ht="15" customHeight="1" x14ac:dyDescent="0.2"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2:13" ht="15" customHeight="1" x14ac:dyDescent="0.2"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2:13" ht="15" customHeight="1" x14ac:dyDescent="0.2"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2:13" ht="15.75" customHeight="1" x14ac:dyDescent="0.2"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2:13" ht="15" customHeight="1" x14ac:dyDescent="0.2"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2:13" ht="15" customHeight="1" x14ac:dyDescent="0.2"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2:13" ht="15" customHeight="1" x14ac:dyDescent="0.2"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2:13" ht="15" customHeight="1" x14ac:dyDescent="0.2"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2:13" ht="15" customHeight="1" x14ac:dyDescent="0.2"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2:13" ht="15.75" customHeight="1" x14ac:dyDescent="0.2"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2:13" ht="15" customHeight="1" x14ac:dyDescent="0.2"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2:13" ht="15" customHeight="1" x14ac:dyDescent="0.2"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2:13" ht="15" customHeight="1" x14ac:dyDescent="0.2"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2:13" ht="15" customHeight="1" x14ac:dyDescent="0.2"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2:13" ht="15" customHeight="1" x14ac:dyDescent="0.2"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2:13" ht="15.75" customHeight="1" x14ac:dyDescent="0.2"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2:13" ht="15" customHeight="1" x14ac:dyDescent="0.2"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2:13" ht="15" customHeight="1" x14ac:dyDescent="0.2"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2:13" ht="15" customHeight="1" x14ac:dyDescent="0.2"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2:13" ht="15" customHeight="1" x14ac:dyDescent="0.2"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2:13" ht="15" customHeight="1" x14ac:dyDescent="0.2"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2:13" ht="15.75" customHeight="1" x14ac:dyDescent="0.2"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2:13" ht="15" customHeight="1" x14ac:dyDescent="0.2"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2:13" ht="15" customHeight="1" x14ac:dyDescent="0.2"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2:13" ht="15" customHeight="1" x14ac:dyDescent="0.2"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2:13" ht="15" customHeight="1" x14ac:dyDescent="0.2"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2:13" ht="15" customHeight="1" x14ac:dyDescent="0.2"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2:13" ht="15.75" customHeight="1" x14ac:dyDescent="0.2"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2:13" ht="15" customHeight="1" x14ac:dyDescent="0.2"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2:13" ht="15" customHeight="1" x14ac:dyDescent="0.2"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2:13" ht="15" customHeight="1" x14ac:dyDescent="0.2"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2:13" ht="15" customHeight="1" x14ac:dyDescent="0.2"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2:13" ht="15" customHeight="1" x14ac:dyDescent="0.2"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2:13" ht="15.75" customHeight="1" x14ac:dyDescent="0.2"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2:13" ht="15.75" customHeight="1" x14ac:dyDescent="0.2"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2:13" ht="15" customHeight="1" x14ac:dyDescent="0.2"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2:13" ht="15" customHeight="1" x14ac:dyDescent="0.2"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2:13" ht="15" customHeight="1" x14ac:dyDescent="0.2"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2:13" ht="15" customHeight="1" x14ac:dyDescent="0.2"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2:13" ht="15.75" customHeight="1" x14ac:dyDescent="0.2"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2:13" ht="15" customHeight="1" x14ac:dyDescent="0.2"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2:13" ht="15" customHeight="1" x14ac:dyDescent="0.2"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2:13" ht="15" customHeight="1" x14ac:dyDescent="0.2"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2:13" ht="15" customHeight="1" x14ac:dyDescent="0.2"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2:13" ht="15" customHeight="1" x14ac:dyDescent="0.2"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2:13" ht="15.75" customHeight="1" x14ac:dyDescent="0.2"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2:13" ht="15" customHeight="1" x14ac:dyDescent="0.2"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2:13" ht="15" customHeight="1" x14ac:dyDescent="0.2"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2:13" ht="15" customHeight="1" x14ac:dyDescent="0.2"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2:13" ht="15" customHeight="1" x14ac:dyDescent="0.2"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2:13" ht="15" customHeight="1" x14ac:dyDescent="0.2"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2:13" ht="15.75" customHeight="1" x14ac:dyDescent="0.2"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2:13" ht="15" customHeight="1" x14ac:dyDescent="0.2"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2:13" ht="15" customHeight="1" x14ac:dyDescent="0.2"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2:13" ht="15" customHeight="1" x14ac:dyDescent="0.2"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2:13" ht="15" customHeight="1" x14ac:dyDescent="0.2"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2:13" ht="15" customHeight="1" x14ac:dyDescent="0.2"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  <row r="201" spans="2:13" ht="15.75" customHeight="1" x14ac:dyDescent="0.2"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</row>
    <row r="202" spans="2:13" ht="15" customHeight="1" x14ac:dyDescent="0.2"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</row>
    <row r="203" spans="2:13" ht="15" customHeight="1" x14ac:dyDescent="0.2"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</row>
    <row r="204" spans="2:13" ht="15" customHeight="1" x14ac:dyDescent="0.2"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</row>
    <row r="205" spans="2:13" ht="15" customHeight="1" x14ac:dyDescent="0.2"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</row>
    <row r="206" spans="2:13" ht="15" customHeight="1" x14ac:dyDescent="0.2"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</row>
    <row r="207" spans="2:13" ht="15.75" customHeight="1" x14ac:dyDescent="0.2"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</row>
    <row r="208" spans="2:13" ht="15" customHeight="1" x14ac:dyDescent="0.2"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</row>
    <row r="209" spans="2:13" ht="15" customHeight="1" x14ac:dyDescent="0.2"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</row>
    <row r="210" spans="2:13" ht="15" customHeight="1" x14ac:dyDescent="0.2"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</row>
    <row r="211" spans="2:13" ht="15" customHeight="1" x14ac:dyDescent="0.2"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</row>
    <row r="212" spans="2:13" ht="15" customHeight="1" x14ac:dyDescent="0.2"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</row>
    <row r="213" spans="2:13" ht="15.75" customHeight="1" x14ac:dyDescent="0.2"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</row>
    <row r="214" spans="2:13" ht="15" customHeight="1" x14ac:dyDescent="0.2"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</row>
    <row r="215" spans="2:13" ht="15" customHeight="1" x14ac:dyDescent="0.2"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</row>
    <row r="216" spans="2:13" ht="15" customHeight="1" x14ac:dyDescent="0.2"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</row>
    <row r="217" spans="2:13" ht="15" customHeight="1" x14ac:dyDescent="0.2"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</row>
    <row r="218" spans="2:13" ht="15" customHeight="1" x14ac:dyDescent="0.2"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</row>
    <row r="219" spans="2:13" ht="15.75" customHeight="1" x14ac:dyDescent="0.2"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</row>
    <row r="220" spans="2:13" ht="15" customHeight="1" x14ac:dyDescent="0.2"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</row>
    <row r="221" spans="2:13" ht="15" customHeight="1" x14ac:dyDescent="0.2"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</row>
    <row r="222" spans="2:13" ht="15" customHeight="1" x14ac:dyDescent="0.2"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</row>
    <row r="223" spans="2:13" ht="15" customHeight="1" x14ac:dyDescent="0.2"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</row>
    <row r="224" spans="2:13" ht="15" customHeight="1" x14ac:dyDescent="0.2"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</row>
    <row r="225" spans="2:13" ht="15.75" customHeight="1" x14ac:dyDescent="0.2"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</row>
    <row r="226" spans="2:13" ht="15" customHeight="1" x14ac:dyDescent="0.2"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</row>
    <row r="227" spans="2:13" ht="15" customHeight="1" x14ac:dyDescent="0.2"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</row>
    <row r="228" spans="2:13" ht="15" customHeight="1" x14ac:dyDescent="0.2"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</row>
    <row r="229" spans="2:13" ht="15" customHeight="1" x14ac:dyDescent="0.2"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</row>
    <row r="230" spans="2:13" ht="15" customHeight="1" x14ac:dyDescent="0.2"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</row>
    <row r="231" spans="2:13" ht="15.75" customHeight="1" x14ac:dyDescent="0.2"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</row>
    <row r="232" spans="2:13" ht="15.75" customHeight="1" x14ac:dyDescent="0.2"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</row>
    <row r="233" spans="2:13" ht="15" customHeight="1" x14ac:dyDescent="0.2"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</row>
    <row r="234" spans="2:13" ht="15" customHeight="1" x14ac:dyDescent="0.2"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</row>
    <row r="235" spans="2:13" ht="15" customHeight="1" x14ac:dyDescent="0.2"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</row>
    <row r="236" spans="2:13" ht="15" customHeight="1" x14ac:dyDescent="0.2"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</row>
    <row r="237" spans="2:13" ht="15.75" customHeight="1" x14ac:dyDescent="0.2"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</row>
    <row r="238" spans="2:13" ht="15" customHeight="1" x14ac:dyDescent="0.2"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</row>
    <row r="239" spans="2:13" ht="15" customHeight="1" x14ac:dyDescent="0.2"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</row>
    <row r="240" spans="2:13" ht="15" customHeight="1" x14ac:dyDescent="0.2"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</row>
    <row r="241" spans="2:13" ht="15" customHeight="1" x14ac:dyDescent="0.2"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</row>
    <row r="242" spans="2:13" ht="15" customHeight="1" x14ac:dyDescent="0.2"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</row>
    <row r="243" spans="2:13" ht="15.75" customHeight="1" x14ac:dyDescent="0.2"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</row>
    <row r="244" spans="2:13" ht="15" customHeight="1" x14ac:dyDescent="0.2"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</row>
    <row r="245" spans="2:13" ht="15" customHeight="1" x14ac:dyDescent="0.2"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</row>
    <row r="246" spans="2:13" ht="15" customHeight="1" x14ac:dyDescent="0.2"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</row>
    <row r="247" spans="2:13" ht="15" customHeight="1" x14ac:dyDescent="0.2"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</row>
    <row r="248" spans="2:13" ht="15" customHeight="1" x14ac:dyDescent="0.2"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</row>
    <row r="249" spans="2:13" ht="15.75" customHeight="1" x14ac:dyDescent="0.2"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</row>
    <row r="250" spans="2:13" ht="15" customHeight="1" x14ac:dyDescent="0.2"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</row>
    <row r="251" spans="2:13" ht="15" customHeight="1" x14ac:dyDescent="0.2"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</row>
    <row r="252" spans="2:13" ht="15" customHeight="1" x14ac:dyDescent="0.2"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</row>
    <row r="253" spans="2:13" ht="15" customHeight="1" x14ac:dyDescent="0.2"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</row>
    <row r="254" spans="2:13" ht="15" customHeight="1" x14ac:dyDescent="0.2"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</row>
    <row r="255" spans="2:13" ht="15.75" customHeight="1" x14ac:dyDescent="0.2"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</row>
    <row r="256" spans="2:13" ht="15" customHeight="1" x14ac:dyDescent="0.2"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</row>
    <row r="257" spans="2:13" ht="15" customHeight="1" x14ac:dyDescent="0.2"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</row>
    <row r="258" spans="2:13" ht="15" customHeight="1" x14ac:dyDescent="0.2"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</row>
    <row r="259" spans="2:13" ht="15" customHeight="1" x14ac:dyDescent="0.2"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</row>
    <row r="260" spans="2:13" ht="15" customHeight="1" x14ac:dyDescent="0.2"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</row>
    <row r="261" spans="2:13" ht="15.75" customHeight="1" x14ac:dyDescent="0.2"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</row>
    <row r="262" spans="2:13" ht="15" customHeight="1" x14ac:dyDescent="0.2"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</row>
    <row r="263" spans="2:13" ht="15" customHeight="1" x14ac:dyDescent="0.2"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</row>
    <row r="264" spans="2:13" ht="15" customHeight="1" x14ac:dyDescent="0.2"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</row>
    <row r="265" spans="2:13" ht="15" customHeight="1" x14ac:dyDescent="0.2"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</row>
    <row r="266" spans="2:13" ht="15" customHeight="1" x14ac:dyDescent="0.2"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</row>
    <row r="267" spans="2:13" ht="15.75" customHeight="1" x14ac:dyDescent="0.2"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</row>
    <row r="268" spans="2:13" ht="15" customHeight="1" x14ac:dyDescent="0.2"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</row>
    <row r="269" spans="2:13" ht="15" customHeight="1" x14ac:dyDescent="0.2"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</row>
    <row r="270" spans="2:13" ht="15" customHeight="1" x14ac:dyDescent="0.2"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</row>
    <row r="271" spans="2:13" ht="15" customHeight="1" x14ac:dyDescent="0.2"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</row>
    <row r="272" spans="2:13" ht="15" customHeight="1" x14ac:dyDescent="0.2"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</row>
    <row r="273" spans="2:13" ht="15.75" customHeight="1" x14ac:dyDescent="0.2"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</row>
    <row r="274" spans="2:13" ht="15" customHeight="1" x14ac:dyDescent="0.2"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</row>
    <row r="275" spans="2:13" ht="15" customHeight="1" x14ac:dyDescent="0.2"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</row>
    <row r="276" spans="2:13" ht="15" customHeight="1" x14ac:dyDescent="0.2"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</row>
    <row r="277" spans="2:13" ht="15" customHeight="1" x14ac:dyDescent="0.2"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</row>
    <row r="278" spans="2:13" ht="15" customHeight="1" x14ac:dyDescent="0.2"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</row>
    <row r="279" spans="2:13" ht="15.75" customHeight="1" x14ac:dyDescent="0.2"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</row>
    <row r="280" spans="2:13" ht="15" customHeight="1" x14ac:dyDescent="0.2"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</row>
    <row r="281" spans="2:13" ht="15" customHeight="1" x14ac:dyDescent="0.2"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</row>
    <row r="282" spans="2:13" ht="15" customHeight="1" x14ac:dyDescent="0.2"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</row>
    <row r="283" spans="2:13" ht="15" customHeight="1" x14ac:dyDescent="0.2"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</row>
    <row r="284" spans="2:13" ht="15" customHeight="1" x14ac:dyDescent="0.2"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</row>
    <row r="285" spans="2:13" ht="15.75" customHeight="1" x14ac:dyDescent="0.2"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</row>
    <row r="286" spans="2:13" ht="15.75" customHeight="1" x14ac:dyDescent="0.2"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</row>
    <row r="287" spans="2:13" ht="15" customHeight="1" x14ac:dyDescent="0.2"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</row>
    <row r="288" spans="2:13" ht="15" customHeight="1" x14ac:dyDescent="0.2"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</row>
    <row r="289" spans="2:13" ht="15" customHeight="1" x14ac:dyDescent="0.2"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</row>
    <row r="290" spans="2:13" ht="15" customHeight="1" x14ac:dyDescent="0.2"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</row>
    <row r="291" spans="2:13" ht="15.75" customHeight="1" x14ac:dyDescent="0.2"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</row>
    <row r="292" spans="2:13" ht="15" customHeight="1" x14ac:dyDescent="0.2"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</row>
    <row r="293" spans="2:13" ht="15" customHeight="1" x14ac:dyDescent="0.2"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</row>
    <row r="294" spans="2:13" ht="15" customHeight="1" x14ac:dyDescent="0.2"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</row>
    <row r="295" spans="2:13" ht="15" customHeight="1" x14ac:dyDescent="0.2"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</row>
    <row r="296" spans="2:13" ht="15" customHeight="1" x14ac:dyDescent="0.2"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</row>
    <row r="297" spans="2:13" ht="15.75" customHeight="1" x14ac:dyDescent="0.2"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</row>
    <row r="298" spans="2:13" ht="15" customHeight="1" x14ac:dyDescent="0.2"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</row>
    <row r="299" spans="2:13" ht="15" customHeight="1" x14ac:dyDescent="0.2"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</row>
    <row r="300" spans="2:13" ht="15" customHeight="1" x14ac:dyDescent="0.2"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</row>
    <row r="301" spans="2:13" ht="15" customHeight="1" x14ac:dyDescent="0.2"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</row>
    <row r="302" spans="2:13" ht="15" customHeight="1" x14ac:dyDescent="0.2"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</row>
    <row r="303" spans="2:13" ht="15.75" customHeight="1" x14ac:dyDescent="0.2"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</row>
    <row r="304" spans="2:13" ht="15" customHeight="1" x14ac:dyDescent="0.2"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</row>
    <row r="305" spans="2:13" ht="15" customHeight="1" x14ac:dyDescent="0.2"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</row>
    <row r="306" spans="2:13" ht="15" customHeight="1" x14ac:dyDescent="0.2"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</row>
    <row r="307" spans="2:13" ht="15" customHeight="1" x14ac:dyDescent="0.2"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</row>
    <row r="308" spans="2:13" ht="15" customHeight="1" x14ac:dyDescent="0.2"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</row>
    <row r="309" spans="2:13" ht="15.75" customHeight="1" x14ac:dyDescent="0.2"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</row>
    <row r="310" spans="2:13" ht="15" customHeight="1" x14ac:dyDescent="0.2"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</row>
    <row r="311" spans="2:13" ht="15" customHeight="1" x14ac:dyDescent="0.2"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</row>
    <row r="312" spans="2:13" ht="15" customHeight="1" x14ac:dyDescent="0.2"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</row>
    <row r="313" spans="2:13" ht="15" customHeight="1" x14ac:dyDescent="0.2"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</row>
    <row r="314" spans="2:13" ht="15" customHeight="1" x14ac:dyDescent="0.2"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</row>
    <row r="315" spans="2:13" ht="15.75" customHeight="1" x14ac:dyDescent="0.2"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</row>
    <row r="316" spans="2:13" ht="15" customHeight="1" x14ac:dyDescent="0.2"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</row>
    <row r="317" spans="2:13" ht="15" customHeight="1" x14ac:dyDescent="0.2"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</row>
    <row r="318" spans="2:13" ht="15" customHeight="1" x14ac:dyDescent="0.2"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</row>
    <row r="319" spans="2:13" ht="15" customHeight="1" x14ac:dyDescent="0.2"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</row>
    <row r="320" spans="2:13" ht="15" customHeight="1" x14ac:dyDescent="0.2"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</row>
    <row r="321" spans="2:13" ht="15.75" customHeight="1" x14ac:dyDescent="0.2"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</row>
    <row r="322" spans="2:13" ht="15" customHeight="1" x14ac:dyDescent="0.2"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</row>
    <row r="323" spans="2:13" ht="15" customHeight="1" x14ac:dyDescent="0.2"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</row>
    <row r="324" spans="2:13" ht="15" customHeight="1" x14ac:dyDescent="0.2"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</row>
    <row r="325" spans="2:13" ht="15" customHeight="1" x14ac:dyDescent="0.2"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</row>
    <row r="326" spans="2:13" ht="15" customHeight="1" x14ac:dyDescent="0.2"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</row>
    <row r="327" spans="2:13" ht="15.75" customHeight="1" x14ac:dyDescent="0.2"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</row>
    <row r="328" spans="2:13" ht="15" customHeight="1" x14ac:dyDescent="0.2"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</row>
    <row r="329" spans="2:13" ht="15" customHeight="1" x14ac:dyDescent="0.2"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</row>
    <row r="330" spans="2:13" ht="15" customHeight="1" x14ac:dyDescent="0.2"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</row>
    <row r="331" spans="2:13" ht="15" customHeight="1" x14ac:dyDescent="0.2"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</row>
    <row r="332" spans="2:13" ht="15" customHeight="1" x14ac:dyDescent="0.2"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</row>
    <row r="333" spans="2:13" ht="15.75" customHeight="1" x14ac:dyDescent="0.2"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</row>
    <row r="334" spans="2:13" ht="15" customHeight="1" x14ac:dyDescent="0.2"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</row>
    <row r="335" spans="2:13" ht="15" customHeight="1" x14ac:dyDescent="0.2"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</row>
    <row r="336" spans="2:13" ht="15" customHeight="1" x14ac:dyDescent="0.2"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</row>
    <row r="337" spans="2:13" ht="15" customHeight="1" x14ac:dyDescent="0.2"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</row>
    <row r="338" spans="2:13" ht="15" customHeight="1" x14ac:dyDescent="0.2"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</row>
    <row r="339" spans="2:13" ht="15.75" customHeight="1" x14ac:dyDescent="0.2"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</row>
    <row r="340" spans="2:13" ht="15.75" customHeight="1" x14ac:dyDescent="0.2"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</row>
    <row r="341" spans="2:13" ht="15" customHeight="1" x14ac:dyDescent="0.2"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</row>
    <row r="342" spans="2:13" ht="15" customHeight="1" x14ac:dyDescent="0.2"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</row>
    <row r="343" spans="2:13" ht="15" customHeight="1" x14ac:dyDescent="0.2"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</row>
    <row r="344" spans="2:13" ht="15" customHeight="1" x14ac:dyDescent="0.2"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</row>
    <row r="345" spans="2:13" ht="15.75" customHeight="1" x14ac:dyDescent="0.2"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</row>
    <row r="346" spans="2:13" ht="15" customHeight="1" x14ac:dyDescent="0.2"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</row>
    <row r="347" spans="2:13" ht="15" customHeight="1" x14ac:dyDescent="0.2"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</row>
    <row r="348" spans="2:13" ht="15" customHeight="1" x14ac:dyDescent="0.2"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</row>
    <row r="349" spans="2:13" ht="15" customHeight="1" x14ac:dyDescent="0.2"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</row>
    <row r="350" spans="2:13" ht="15" customHeight="1" x14ac:dyDescent="0.2"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</row>
    <row r="351" spans="2:13" ht="15.75" customHeight="1" x14ac:dyDescent="0.2"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</row>
    <row r="352" spans="2:13" ht="15" customHeight="1" x14ac:dyDescent="0.2"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</row>
    <row r="353" spans="2:13" ht="15" customHeight="1" x14ac:dyDescent="0.2"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</row>
    <row r="354" spans="2:13" ht="15" customHeight="1" x14ac:dyDescent="0.2"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</row>
    <row r="355" spans="2:13" ht="15" customHeight="1" x14ac:dyDescent="0.2"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</row>
    <row r="356" spans="2:13" ht="15" customHeight="1" x14ac:dyDescent="0.2"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</row>
    <row r="357" spans="2:13" ht="15.75" customHeight="1" x14ac:dyDescent="0.2"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</row>
    <row r="358" spans="2:13" ht="15" customHeight="1" x14ac:dyDescent="0.2"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</row>
    <row r="359" spans="2:13" ht="15" customHeight="1" x14ac:dyDescent="0.2"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</row>
    <row r="360" spans="2:13" ht="15" customHeight="1" x14ac:dyDescent="0.2"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</row>
    <row r="361" spans="2:13" ht="15" customHeight="1" x14ac:dyDescent="0.2"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</row>
    <row r="362" spans="2:13" ht="15" customHeight="1" x14ac:dyDescent="0.2"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</row>
    <row r="363" spans="2:13" ht="15.75" customHeight="1" x14ac:dyDescent="0.2"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</row>
    <row r="364" spans="2:13" ht="15" customHeight="1" x14ac:dyDescent="0.2"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</row>
    <row r="365" spans="2:13" ht="15" customHeight="1" x14ac:dyDescent="0.2"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</row>
    <row r="366" spans="2:13" ht="15" customHeight="1" x14ac:dyDescent="0.2"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</row>
    <row r="367" spans="2:13" ht="15" customHeight="1" x14ac:dyDescent="0.2"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</row>
    <row r="368" spans="2:13" ht="15" customHeight="1" x14ac:dyDescent="0.2"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</row>
    <row r="369" spans="2:13" ht="15.75" customHeight="1" x14ac:dyDescent="0.2"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</row>
    <row r="370" spans="2:13" ht="15" customHeight="1" x14ac:dyDescent="0.2"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</row>
    <row r="371" spans="2:13" ht="15" customHeight="1" x14ac:dyDescent="0.2"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</row>
    <row r="372" spans="2:13" ht="15" customHeight="1" x14ac:dyDescent="0.2"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</row>
    <row r="373" spans="2:13" ht="15" customHeight="1" x14ac:dyDescent="0.2"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</row>
    <row r="374" spans="2:13" ht="15" customHeight="1" x14ac:dyDescent="0.2"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</row>
    <row r="375" spans="2:13" ht="15.75" customHeight="1" x14ac:dyDescent="0.2"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</row>
    <row r="376" spans="2:13" ht="15" customHeight="1" x14ac:dyDescent="0.2"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</row>
    <row r="377" spans="2:13" ht="15" customHeight="1" x14ac:dyDescent="0.2"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</row>
    <row r="378" spans="2:13" ht="15" customHeight="1" x14ac:dyDescent="0.2"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</row>
    <row r="379" spans="2:13" ht="15" customHeight="1" x14ac:dyDescent="0.2"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</row>
    <row r="380" spans="2:13" ht="15" customHeight="1" x14ac:dyDescent="0.2"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</row>
    <row r="381" spans="2:13" ht="15.75" customHeight="1" x14ac:dyDescent="0.2"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</row>
    <row r="382" spans="2:13" ht="15" customHeight="1" x14ac:dyDescent="0.2"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</row>
    <row r="383" spans="2:13" ht="15" customHeight="1" x14ac:dyDescent="0.2"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</row>
    <row r="384" spans="2:13" ht="15" customHeight="1" x14ac:dyDescent="0.2"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</row>
    <row r="385" spans="2:13" ht="15" customHeight="1" x14ac:dyDescent="0.2"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</row>
    <row r="386" spans="2:13" ht="15" customHeight="1" x14ac:dyDescent="0.2"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</row>
    <row r="387" spans="2:13" ht="15.75" customHeight="1" x14ac:dyDescent="0.2"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</row>
    <row r="388" spans="2:13" ht="15" customHeight="1" x14ac:dyDescent="0.2"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</row>
    <row r="389" spans="2:13" ht="15" customHeight="1" x14ac:dyDescent="0.2"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</row>
    <row r="390" spans="2:13" ht="15" customHeight="1" x14ac:dyDescent="0.2"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</row>
    <row r="391" spans="2:13" ht="15" customHeight="1" x14ac:dyDescent="0.2"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</row>
    <row r="392" spans="2:13" ht="15" customHeight="1" x14ac:dyDescent="0.2"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</row>
    <row r="393" spans="2:13" ht="15.75" customHeight="1" x14ac:dyDescent="0.2"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</row>
    <row r="394" spans="2:13" ht="15.75" customHeight="1" x14ac:dyDescent="0.2"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</row>
    <row r="395" spans="2:13" ht="15" customHeight="1" x14ac:dyDescent="0.2"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</row>
    <row r="396" spans="2:13" ht="15" customHeight="1" x14ac:dyDescent="0.2"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</row>
    <row r="397" spans="2:13" ht="15" customHeight="1" x14ac:dyDescent="0.2"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</row>
    <row r="398" spans="2:13" ht="15" customHeight="1" x14ac:dyDescent="0.2"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</row>
    <row r="399" spans="2:13" ht="15.75" customHeight="1" x14ac:dyDescent="0.2"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</row>
    <row r="400" spans="2:13" ht="15" customHeight="1" x14ac:dyDescent="0.2"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</row>
    <row r="401" spans="2:13" ht="15" customHeight="1" x14ac:dyDescent="0.2"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</row>
    <row r="402" spans="2:13" ht="15" customHeight="1" x14ac:dyDescent="0.2"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</row>
    <row r="403" spans="2:13" ht="15" customHeight="1" x14ac:dyDescent="0.2"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</row>
    <row r="404" spans="2:13" ht="15" customHeight="1" x14ac:dyDescent="0.2"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</row>
    <row r="405" spans="2:13" ht="15.75" customHeight="1" x14ac:dyDescent="0.2"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</row>
    <row r="406" spans="2:13" ht="15" customHeight="1" x14ac:dyDescent="0.2"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</row>
    <row r="407" spans="2:13" ht="15" customHeight="1" x14ac:dyDescent="0.2"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</row>
    <row r="408" spans="2:13" ht="15" customHeight="1" x14ac:dyDescent="0.2"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</row>
    <row r="409" spans="2:13" ht="15" customHeight="1" x14ac:dyDescent="0.2"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</row>
    <row r="410" spans="2:13" ht="15" customHeight="1" x14ac:dyDescent="0.2"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</row>
    <row r="411" spans="2:13" ht="15.75" customHeight="1" x14ac:dyDescent="0.2"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</row>
    <row r="412" spans="2:13" ht="15" customHeight="1" x14ac:dyDescent="0.2"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</row>
    <row r="413" spans="2:13" ht="15" customHeight="1" x14ac:dyDescent="0.2"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</row>
    <row r="414" spans="2:13" ht="15" customHeight="1" x14ac:dyDescent="0.2"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</row>
    <row r="415" spans="2:13" ht="15" customHeight="1" x14ac:dyDescent="0.2"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</row>
    <row r="416" spans="2:13" ht="15" customHeight="1" x14ac:dyDescent="0.2"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</row>
    <row r="417" spans="2:13" ht="15.75" customHeight="1" x14ac:dyDescent="0.2"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</row>
    <row r="418" spans="2:13" ht="15" customHeight="1" x14ac:dyDescent="0.2"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</row>
    <row r="419" spans="2:13" ht="15" customHeight="1" x14ac:dyDescent="0.2"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</row>
    <row r="420" spans="2:13" ht="15" customHeight="1" x14ac:dyDescent="0.2"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</row>
    <row r="421" spans="2:13" ht="15" customHeight="1" x14ac:dyDescent="0.2"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</row>
    <row r="422" spans="2:13" ht="15" customHeight="1" x14ac:dyDescent="0.2"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</row>
    <row r="423" spans="2:13" ht="15.75" customHeight="1" x14ac:dyDescent="0.2"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</row>
    <row r="424" spans="2:13" ht="15" customHeight="1" x14ac:dyDescent="0.2"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</row>
    <row r="425" spans="2:13" ht="15" customHeight="1" x14ac:dyDescent="0.2"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</row>
    <row r="426" spans="2:13" ht="15" customHeight="1" x14ac:dyDescent="0.2"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</row>
    <row r="427" spans="2:13" ht="15" customHeight="1" x14ac:dyDescent="0.2"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</row>
    <row r="428" spans="2:13" ht="15" customHeight="1" x14ac:dyDescent="0.2"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</row>
    <row r="429" spans="2:13" ht="15.75" customHeight="1" x14ac:dyDescent="0.2"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</row>
    <row r="430" spans="2:13" ht="15" customHeight="1" x14ac:dyDescent="0.2"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</row>
    <row r="431" spans="2:13" ht="15" customHeight="1" x14ac:dyDescent="0.2"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</row>
    <row r="432" spans="2:13" ht="15" customHeight="1" x14ac:dyDescent="0.2"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</row>
    <row r="433" spans="2:13" ht="15" customHeight="1" x14ac:dyDescent="0.2"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</row>
    <row r="434" spans="2:13" ht="15" customHeight="1" x14ac:dyDescent="0.2"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</row>
    <row r="435" spans="2:13" ht="15.75" customHeight="1" x14ac:dyDescent="0.2"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</row>
    <row r="436" spans="2:13" ht="15" customHeight="1" x14ac:dyDescent="0.2"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</row>
    <row r="437" spans="2:13" ht="15" customHeight="1" x14ac:dyDescent="0.2"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</row>
    <row r="438" spans="2:13" ht="15" customHeight="1" x14ac:dyDescent="0.2"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</row>
    <row r="439" spans="2:13" ht="15" customHeight="1" x14ac:dyDescent="0.2"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</row>
    <row r="440" spans="2:13" ht="15" customHeight="1" x14ac:dyDescent="0.2"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</row>
    <row r="441" spans="2:13" ht="15.75" customHeight="1" x14ac:dyDescent="0.2"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</row>
    <row r="442" spans="2:13" ht="15" customHeight="1" x14ac:dyDescent="0.2"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</row>
    <row r="443" spans="2:13" ht="15" customHeight="1" x14ac:dyDescent="0.2"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</row>
    <row r="444" spans="2:13" ht="15" customHeight="1" x14ac:dyDescent="0.2"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</row>
    <row r="445" spans="2:13" ht="15" customHeight="1" x14ac:dyDescent="0.2"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</row>
    <row r="446" spans="2:13" ht="15" customHeight="1" x14ac:dyDescent="0.2"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</row>
    <row r="447" spans="2:13" ht="15.75" customHeight="1" x14ac:dyDescent="0.2"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</row>
    <row r="448" spans="2:13" ht="15.75" customHeight="1" x14ac:dyDescent="0.2"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</row>
    <row r="449" spans="2:13" ht="15" customHeight="1" x14ac:dyDescent="0.2"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</row>
    <row r="450" spans="2:13" ht="15" customHeight="1" x14ac:dyDescent="0.2"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</row>
    <row r="451" spans="2:13" ht="15" customHeight="1" x14ac:dyDescent="0.2"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</row>
    <row r="452" spans="2:13" ht="15" customHeight="1" x14ac:dyDescent="0.2"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</row>
    <row r="453" spans="2:13" ht="15.75" customHeight="1" x14ac:dyDescent="0.2"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</row>
    <row r="454" spans="2:13" ht="15" customHeight="1" x14ac:dyDescent="0.2"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</row>
    <row r="455" spans="2:13" ht="15" customHeight="1" x14ac:dyDescent="0.2"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</row>
    <row r="456" spans="2:13" ht="15" customHeight="1" x14ac:dyDescent="0.2"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</row>
    <row r="457" spans="2:13" ht="15" customHeight="1" x14ac:dyDescent="0.2"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</row>
    <row r="458" spans="2:13" ht="15" customHeight="1" x14ac:dyDescent="0.2"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</row>
    <row r="459" spans="2:13" ht="15.75" customHeight="1" x14ac:dyDescent="0.2"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</row>
    <row r="460" spans="2:13" ht="15" customHeight="1" x14ac:dyDescent="0.2"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</row>
    <row r="461" spans="2:13" ht="15" customHeight="1" x14ac:dyDescent="0.2"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</row>
    <row r="462" spans="2:13" ht="15" customHeight="1" x14ac:dyDescent="0.2"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</row>
    <row r="463" spans="2:13" ht="15" customHeight="1" x14ac:dyDescent="0.2"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</row>
    <row r="464" spans="2:13" ht="15" customHeight="1" x14ac:dyDescent="0.2"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</row>
    <row r="465" spans="2:13" ht="15.75" customHeight="1" x14ac:dyDescent="0.2"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</row>
    <row r="466" spans="2:13" ht="15" customHeight="1" x14ac:dyDescent="0.2"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</row>
    <row r="467" spans="2:13" ht="15" customHeight="1" x14ac:dyDescent="0.2"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</row>
    <row r="468" spans="2:13" ht="15" customHeight="1" x14ac:dyDescent="0.2"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</row>
    <row r="469" spans="2:13" ht="15" customHeight="1" x14ac:dyDescent="0.2"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</row>
    <row r="470" spans="2:13" ht="15" customHeight="1" x14ac:dyDescent="0.2"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</row>
    <row r="471" spans="2:13" ht="15.75" customHeight="1" x14ac:dyDescent="0.2"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</row>
    <row r="472" spans="2:13" ht="15" customHeight="1" x14ac:dyDescent="0.2"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</row>
    <row r="473" spans="2:13" ht="15" customHeight="1" x14ac:dyDescent="0.2"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</row>
    <row r="474" spans="2:13" ht="15" customHeight="1" x14ac:dyDescent="0.2"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</row>
    <row r="475" spans="2:13" ht="15" customHeight="1" x14ac:dyDescent="0.2"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</row>
    <row r="476" spans="2:13" ht="15" customHeight="1" x14ac:dyDescent="0.2"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</row>
    <row r="477" spans="2:13" ht="15.75" customHeight="1" x14ac:dyDescent="0.2"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</row>
    <row r="478" spans="2:13" ht="15" customHeight="1" x14ac:dyDescent="0.2"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</row>
    <row r="479" spans="2:13" ht="15" customHeight="1" x14ac:dyDescent="0.2"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</row>
    <row r="480" spans="2:13" ht="15" customHeight="1" x14ac:dyDescent="0.2"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</row>
    <row r="481" spans="2:13" ht="15" customHeight="1" x14ac:dyDescent="0.2"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</row>
    <row r="482" spans="2:13" ht="15" customHeight="1" x14ac:dyDescent="0.2"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</row>
    <row r="483" spans="2:13" ht="15.75" customHeight="1" x14ac:dyDescent="0.2"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</row>
    <row r="484" spans="2:13" ht="15" customHeight="1" x14ac:dyDescent="0.2"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</row>
    <row r="485" spans="2:13" ht="15" customHeight="1" x14ac:dyDescent="0.2"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</row>
    <row r="486" spans="2:13" ht="15" customHeight="1" x14ac:dyDescent="0.2"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</row>
    <row r="487" spans="2:13" ht="15" customHeight="1" x14ac:dyDescent="0.2"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</row>
    <row r="488" spans="2:13" ht="15" customHeight="1" x14ac:dyDescent="0.2"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</row>
    <row r="489" spans="2:13" ht="15.75" customHeight="1" x14ac:dyDescent="0.2"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</row>
    <row r="490" spans="2:13" ht="15" customHeight="1" x14ac:dyDescent="0.2"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</row>
    <row r="491" spans="2:13" ht="15" customHeight="1" x14ac:dyDescent="0.2"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</row>
    <row r="492" spans="2:13" ht="15" customHeight="1" x14ac:dyDescent="0.2"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</row>
    <row r="493" spans="2:13" ht="15" customHeight="1" x14ac:dyDescent="0.2"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</row>
    <row r="494" spans="2:13" ht="15" customHeight="1" x14ac:dyDescent="0.2"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</row>
    <row r="495" spans="2:13" ht="15.75" customHeight="1" x14ac:dyDescent="0.2"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</row>
    <row r="496" spans="2:13" ht="15" customHeight="1" x14ac:dyDescent="0.2"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</row>
    <row r="497" spans="2:13" ht="15" customHeight="1" x14ac:dyDescent="0.2"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</row>
    <row r="498" spans="2:13" ht="15" customHeight="1" x14ac:dyDescent="0.2"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</row>
    <row r="499" spans="2:13" ht="15" customHeight="1" x14ac:dyDescent="0.2"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</row>
    <row r="500" spans="2:13" ht="15" customHeight="1" x14ac:dyDescent="0.2"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</row>
    <row r="501" spans="2:13" ht="15.75" customHeight="1" x14ac:dyDescent="0.2"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</row>
    <row r="502" spans="2:13" ht="15.75" customHeight="1" x14ac:dyDescent="0.2"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</row>
    <row r="503" spans="2:13" ht="15" customHeight="1" x14ac:dyDescent="0.2"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</row>
    <row r="504" spans="2:13" ht="15" customHeight="1" x14ac:dyDescent="0.2"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</row>
    <row r="505" spans="2:13" ht="15" customHeight="1" x14ac:dyDescent="0.2"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</row>
    <row r="506" spans="2:13" ht="15" customHeight="1" x14ac:dyDescent="0.2"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</row>
    <row r="507" spans="2:13" ht="15.75" customHeight="1" x14ac:dyDescent="0.2"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</row>
    <row r="508" spans="2:13" ht="15" customHeight="1" x14ac:dyDescent="0.2"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</row>
    <row r="509" spans="2:13" ht="15" customHeight="1" x14ac:dyDescent="0.2"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</row>
    <row r="510" spans="2:13" ht="15" customHeight="1" x14ac:dyDescent="0.2"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</row>
    <row r="511" spans="2:13" ht="15" customHeight="1" x14ac:dyDescent="0.2"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</row>
    <row r="512" spans="2:13" ht="15" customHeight="1" x14ac:dyDescent="0.2"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</row>
    <row r="513" spans="2:13" ht="15.75" customHeight="1" x14ac:dyDescent="0.2"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</row>
    <row r="514" spans="2:13" ht="15" customHeight="1" x14ac:dyDescent="0.2"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</row>
    <row r="515" spans="2:13" ht="15" customHeight="1" x14ac:dyDescent="0.2"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</row>
    <row r="516" spans="2:13" ht="15" customHeight="1" x14ac:dyDescent="0.2"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</row>
    <row r="517" spans="2:13" ht="15" customHeight="1" x14ac:dyDescent="0.2"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</row>
    <row r="518" spans="2:13" ht="15" customHeight="1" x14ac:dyDescent="0.2"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</row>
    <row r="519" spans="2:13" ht="15.75" customHeight="1" x14ac:dyDescent="0.2"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</row>
    <row r="520" spans="2:13" ht="15" customHeight="1" x14ac:dyDescent="0.2"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</row>
    <row r="521" spans="2:13" ht="15" customHeight="1" x14ac:dyDescent="0.2"/>
    <row r="522" spans="2:13" ht="15" customHeight="1" x14ac:dyDescent="0.2"/>
    <row r="523" spans="2:13" ht="15" customHeight="1" x14ac:dyDescent="0.2"/>
    <row r="524" spans="2:13" ht="15" customHeight="1" x14ac:dyDescent="0.2"/>
    <row r="525" spans="2:13" ht="15.75" customHeight="1" x14ac:dyDescent="0.2"/>
    <row r="526" spans="2:13" ht="15" customHeight="1" x14ac:dyDescent="0.2"/>
    <row r="527" spans="2:13" ht="15" customHeight="1" x14ac:dyDescent="0.2"/>
    <row r="528" spans="2:13" ht="15" customHeight="1" x14ac:dyDescent="0.2"/>
    <row r="529" ht="15" customHeight="1" x14ac:dyDescent="0.2"/>
    <row r="530" ht="15" customHeight="1" x14ac:dyDescent="0.2"/>
    <row r="531" ht="15.7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.7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.7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.7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.75" customHeight="1" x14ac:dyDescent="0.2"/>
    <row r="556" ht="15.7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.7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.7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.7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.7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.7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.7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.7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.7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.75" customHeight="1" x14ac:dyDescent="0.2"/>
    <row r="610" ht="15.7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.7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.7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.7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.7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.7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.7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.7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.7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.75" customHeight="1" x14ac:dyDescent="0.2"/>
    <row r="664" ht="15.7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.7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.7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.7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.7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.7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.7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.7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.7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.75" customHeight="1" x14ac:dyDescent="0.2"/>
    <row r="718" ht="15.7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.7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.7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.7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.7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.7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.7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.7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.7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.75" customHeight="1" x14ac:dyDescent="0.2"/>
    <row r="772" ht="15.7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.7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.7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.7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.7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.7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.7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.7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.7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.75" customHeight="1" x14ac:dyDescent="0.2"/>
    <row r="826" ht="15.7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.7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.7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.7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.7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.7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.7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.7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.7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.75" customHeight="1" x14ac:dyDescent="0.2"/>
    <row r="880" ht="15.7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.7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.7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.7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.7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.7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.7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</sheetData>
  <autoFilter ref="B3:N3"/>
  <mergeCells count="1">
    <mergeCell ref="I2:N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MP_mTRIG_sASR</vt:lpstr>
      <vt:lpstr>Summary Stats</vt:lpstr>
      <vt:lpstr>Dynamic_Range</vt:lpstr>
      <vt:lpstr>FR SNR</vt:lpstr>
      <vt:lpstr>TRIG_ONLY</vt:lpstr>
      <vt:lpstr>LJ_sTRIG_mASR</vt:lpstr>
      <vt:lpstr>LONG_TALKS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qa</dc:creator>
  <cp:keywords/>
  <dc:description/>
  <cp:lastModifiedBy>Avihay</cp:lastModifiedBy>
  <cp:revision/>
  <dcterms:created xsi:type="dcterms:W3CDTF">2016-08-11T10:53:52Z</dcterms:created>
  <dcterms:modified xsi:type="dcterms:W3CDTF">2017-10-01T14:48:02Z</dcterms:modified>
  <cp:category/>
  <dc:identifier/>
  <cp:contentStatus/>
  <dc:language/>
  <cp:version/>
</cp:coreProperties>
</file>